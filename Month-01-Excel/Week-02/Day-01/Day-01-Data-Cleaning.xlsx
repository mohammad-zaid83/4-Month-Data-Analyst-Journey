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2\Day-01\"/>
    </mc:Choice>
  </mc:AlternateContent>
  <xr:revisionPtr revIDLastSave="0" documentId="13_ncr:1_{A2B7E527-B3BC-4C5C-838D-347BC186365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1" r:id="rId1"/>
    <sheet name="Cleaned_Data" sheetId="2" r:id="rId2"/>
  </sheets>
  <definedNames>
    <definedName name="City">'Raw Data'!$D$2:$D$11</definedName>
    <definedName name="Customer_ID">'Raw Data'!$A$2:$A$11</definedName>
    <definedName name="Customer_Name">'Raw Data'!$B$2:$B$11</definedName>
    <definedName name="Email">'Raw Data'!$C$2:$C$11</definedName>
    <definedName name="Product_Code">'Raw Data'!$E$2:$E$11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2" i="2"/>
  <c r="N2" i="2" a="1"/>
  <c r="H2" i="2" a="1"/>
  <c r="J2" i="2" a="1"/>
  <c r="I2" i="2" a="1"/>
  <c r="M2" i="2" a="1"/>
  <c r="L2" i="2" a="1"/>
  <c r="K2" i="2" a="1"/>
  <c r="G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<sst xmlns="http://schemas.openxmlformats.org/spreadsheetml/2006/main" count="141" uniqueCount="84">
  <si>
    <t>Customer_ID</t>
  </si>
  <si>
    <t>Customer_Name</t>
  </si>
  <si>
    <t>Email</t>
  </si>
  <si>
    <t>City</t>
  </si>
  <si>
    <t>Product_Code</t>
  </si>
  <si>
    <t>C001</t>
  </si>
  <si>
    <t>rahul sharma</t>
  </si>
  <si>
    <t>rahul@gmail.com</t>
  </si>
  <si>
    <t>lucknow</t>
  </si>
  <si>
    <t>EL-LAP-001</t>
  </si>
  <si>
    <t>C002</t>
  </si>
  <si>
    <t>PRIYA SINGH</t>
  </si>
  <si>
    <t>priya@gmail.com</t>
  </si>
  <si>
    <t>DELHI</t>
  </si>
  <si>
    <t>FN-CHR-002</t>
  </si>
  <si>
    <t>C003</t>
  </si>
  <si>
    <t>Arman khan</t>
  </si>
  <si>
    <t>arman@gmail.com</t>
  </si>
  <si>
    <t>mumbai</t>
  </si>
  <si>
    <t>CL-SHR-003</t>
  </si>
  <si>
    <t>C004</t>
  </si>
  <si>
    <t xml:space="preserve">zoya ali </t>
  </si>
  <si>
    <t>zoya@gmail.com</t>
  </si>
  <si>
    <t>LUCKNOW</t>
  </si>
  <si>
    <t>EL-MON-004</t>
  </si>
  <si>
    <t>C005</t>
  </si>
  <si>
    <t xml:space="preserve">Sameer Verma </t>
  </si>
  <si>
    <t>sameer@gmail.com</t>
  </si>
  <si>
    <t>delhi</t>
  </si>
  <si>
    <t>FN-TBL-005</t>
  </si>
  <si>
    <t>C006</t>
  </si>
  <si>
    <t>AYESHA KHAN</t>
  </si>
  <si>
    <t>ayesha@gmail.com</t>
  </si>
  <si>
    <t>Mumbai</t>
  </si>
  <si>
    <t>CL-JKT-006</t>
  </si>
  <si>
    <t>C007</t>
  </si>
  <si>
    <t>hamza ahmed</t>
  </si>
  <si>
    <t>hamza@gmail.com</t>
  </si>
  <si>
    <t>EL-MOU-007</t>
  </si>
  <si>
    <t>C008</t>
  </si>
  <si>
    <t>FATIMA ALI</t>
  </si>
  <si>
    <t>fatima@gmail.com</t>
  </si>
  <si>
    <t>Delhi</t>
  </si>
  <si>
    <t>FN-CHR-008</t>
  </si>
  <si>
    <t>C009</t>
  </si>
  <si>
    <t>ali raza</t>
  </si>
  <si>
    <t>ali@gmail.com</t>
  </si>
  <si>
    <t>CL-SHR-009</t>
  </si>
  <si>
    <t>C010</t>
  </si>
  <si>
    <t xml:space="preserve">Sara Khan </t>
  </si>
  <si>
    <t>sara@gmail.com</t>
  </si>
  <si>
    <t>Lucknow</t>
  </si>
  <si>
    <t>EL-LAP-010</t>
  </si>
  <si>
    <t>Clean_Name</t>
  </si>
  <si>
    <t>Clean_City</t>
  </si>
  <si>
    <t>Upper_Name</t>
  </si>
  <si>
    <t>Lower_Name</t>
  </si>
  <si>
    <t>Name_Length</t>
  </si>
  <si>
    <t>Category_Code</t>
  </si>
  <si>
    <t>Product_Code_Part</t>
  </si>
  <si>
    <t>Customer Email Domain</t>
  </si>
  <si>
    <t>First Name</t>
  </si>
  <si>
    <t>rahul</t>
  </si>
  <si>
    <t>priya</t>
  </si>
  <si>
    <t>arman</t>
  </si>
  <si>
    <t>zoya</t>
  </si>
  <si>
    <t>sameer</t>
  </si>
  <si>
    <t>ayesha</t>
  </si>
  <si>
    <t>hamza</t>
  </si>
  <si>
    <t>fatima</t>
  </si>
  <si>
    <t>ali</t>
  </si>
  <si>
    <t>sara</t>
  </si>
  <si>
    <t>Clean Customer</t>
  </si>
  <si>
    <t>Rahul Sharma - Lucknow</t>
  </si>
  <si>
    <t>Priya Singh - Delhi</t>
  </si>
  <si>
    <t>Arman Khan - Mumbai</t>
  </si>
  <si>
    <t>Zoya Ali - Lucknow</t>
  </si>
  <si>
    <t>Sameer Verma - Delhi</t>
  </si>
  <si>
    <t>Ayesha Khan - Mumbai</t>
  </si>
  <si>
    <t>Hamza Ahmed - Lucknow</t>
  </si>
  <si>
    <t>Fatima Ali - Delhi</t>
  </si>
  <si>
    <t>Ali Raza - Mumbai</t>
  </si>
  <si>
    <t>Sara Khan - Lucknow</t>
  </si>
  <si>
    <t>Product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</si>
</sst>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20" zoomScaleNormal="120" workbookViewId="0">
      <selection activeCell="B2" sqref="B2:E11"/>
    </sheetView>
  </sheetViews>
  <sheetFormatPr defaultRowHeight="15"/>
  <cols>
    <col min="1" max="1" width="13.28515625" customWidth="1"/>
    <col min="2" max="2" width="16" customWidth="1"/>
    <col min="3" max="3" width="19.42578125" customWidth="1"/>
    <col min="4" max="4" width="14.42578125" customWidth="1"/>
    <col min="5" max="5" width="1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>
      <c r="A8" s="2" t="s">
        <v>35</v>
      </c>
      <c r="B8" s="3" t="s">
        <v>36</v>
      </c>
      <c r="C8" s="3" t="s">
        <v>37</v>
      </c>
      <c r="D8" s="3" t="s">
        <v>8</v>
      </c>
      <c r="E8" s="3" t="s">
        <v>38</v>
      </c>
    </row>
    <row r="9" spans="1:5">
      <c r="A9" s="2" t="s">
        <v>39</v>
      </c>
      <c r="B9" s="3" t="s">
        <v>40</v>
      </c>
      <c r="C9" s="3" t="s">
        <v>41</v>
      </c>
      <c r="D9" s="3" t="s">
        <v>42</v>
      </c>
      <c r="E9" s="3" t="s">
        <v>43</v>
      </c>
    </row>
    <row r="10" spans="1:5">
      <c r="A10" s="2" t="s">
        <v>44</v>
      </c>
      <c r="B10" s="3" t="s">
        <v>45</v>
      </c>
      <c r="C10" s="3" t="s">
        <v>46</v>
      </c>
      <c r="D10" s="3" t="s">
        <v>18</v>
      </c>
      <c r="E10" s="3" t="s">
        <v>47</v>
      </c>
    </row>
    <row r="11" spans="1:5">
      <c r="A11" s="2" t="s">
        <v>48</v>
      </c>
      <c r="B11" s="3" t="s">
        <v>49</v>
      </c>
      <c r="C11" s="3" t="s">
        <v>50</v>
      </c>
      <c r="D11" s="3" t="s">
        <v>51</v>
      </c>
      <c r="E11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C59D-C523-4C7A-B4C0-331EDEE3F8EC}">
  <dimension ref="A1:Q11"/>
  <sheetViews>
    <sheetView tabSelected="1" topLeftCell="L1" workbookViewId="0">
      <selection activeCell="T16" sqref="T16"/>
    </sheetView>
  </sheetViews>
  <sheetFormatPr defaultRowHeight="15"/>
  <cols>
    <col min="1" max="1" width="12.42578125" bestFit="1" customWidth="1"/>
    <col min="2" max="2" width="16" bestFit="1" customWidth="1"/>
    <col min="3" max="3" width="17.85546875" bestFit="1" customWidth="1"/>
    <col min="4" max="4" width="10.42578125" bestFit="1" customWidth="1"/>
    <col min="5" max="5" width="13.5703125" bestFit="1" customWidth="1"/>
    <col min="6" max="6" width="13.5703125" customWidth="1"/>
    <col min="7" max="7" width="14.140625" bestFit="1" customWidth="1"/>
    <col min="8" max="8" width="10.42578125" bestFit="1" customWidth="1"/>
    <col min="9" max="9" width="15.5703125" bestFit="1" customWidth="1"/>
    <col min="10" max="10" width="12.7109375" bestFit="1" customWidth="1"/>
    <col min="11" max="11" width="13.42578125" bestFit="1" customWidth="1"/>
    <col min="12" max="12" width="14.5703125" bestFit="1" customWidth="1"/>
    <col min="13" max="13" width="18.28515625" bestFit="1" customWidth="1"/>
    <col min="14" max="14" width="22.5703125" bestFit="1" customWidth="1"/>
    <col min="15" max="15" width="10.5703125" bestFit="1" customWidth="1"/>
    <col min="16" max="16" width="23.42578125" bestFit="1" customWidth="1"/>
    <col min="17" max="17" width="15.28515625" bestFit="1" customWidth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60</v>
      </c>
      <c r="O1" s="5" t="s">
        <v>61</v>
      </c>
      <c r="P1" s="5" t="s">
        <v>72</v>
      </c>
      <c r="Q1" s="5" t="s">
        <v>83</v>
      </c>
    </row>
    <row r="2" spans="1:17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9"/>
      <c r="G2" s="7" t="str" cm="1">
        <f t="array" ref="G2:G11">PROPER(TRIM(Customer_Name))</f>
        <v>Rahul Sharma</v>
      </c>
      <c r="H2" s="7" t="str" cm="1">
        <f t="array" ref="H2:H11">PROPER(TRIM(City))</f>
        <v>Lucknow</v>
      </c>
      <c r="I2" s="7" t="str" cm="1">
        <f t="array" ref="I2:I11">UPPER((Customer_Name))</f>
        <v>RAHUL SHARMA</v>
      </c>
      <c r="J2" s="7" t="str" cm="1">
        <f t="array" ref="J2:J11">LOWER(Customer_Name)</f>
        <v>rahul sharma</v>
      </c>
      <c r="K2" s="7" cm="1">
        <f t="array" ref="K2:K11">LEN(Customer_Name)</f>
        <v>12</v>
      </c>
      <c r="L2" s="7" t="str" cm="1">
        <f t="array" ref="L2:L11">LEFT(Product_Code,2)</f>
        <v>EL</v>
      </c>
      <c r="M2" s="7" t="str" cm="1">
        <f t="array" ref="M2:M11">MID(Product_Code,4,3)</f>
        <v>LAP</v>
      </c>
      <c r="N2" s="7" t="str" cm="1">
        <f t="array" ref="N2:N11">RIGHT(Email,9)</f>
        <v>gmail.com</v>
      </c>
      <c r="O2" s="4" t="s">
        <v>62</v>
      </c>
      <c r="P2" s="4" t="s">
        <v>73</v>
      </c>
      <c r="Q2" s="4" t="str">
        <f>IF(LEFT(E2,2)="EL","Electronics",IF(LEFT(E3,2)="FN","Furniture",IF(LEFT(E4,2)="CL","Clothing","Unknown")))</f>
        <v>Electronics</v>
      </c>
    </row>
    <row r="3" spans="1:17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9"/>
      <c r="G3" s="7" t="str">
        <v>Priya Singh</v>
      </c>
      <c r="H3" s="7" t="str">
        <v>Delhi</v>
      </c>
      <c r="I3" s="7" t="str">
        <v>PRIYA SINGH</v>
      </c>
      <c r="J3" s="7" t="str">
        <v>priya singh</v>
      </c>
      <c r="K3" s="7">
        <v>11</v>
      </c>
      <c r="L3" s="7" t="str">
        <v>FN</v>
      </c>
      <c r="M3" s="7" t="str">
        <v>CHR</v>
      </c>
      <c r="N3" s="7" t="str">
        <v>gmail.com</v>
      </c>
      <c r="O3" s="4" t="s">
        <v>63</v>
      </c>
      <c r="P3" s="4" t="s">
        <v>74</v>
      </c>
      <c r="Q3" s="4" t="str">
        <f t="shared" ref="Q3:Q11" si="0">IF(LEFT(E3,2)="EL","Electronics",IF(LEFT(E4,2)="FN","Furniture",IF(LEFT(E5,2)="CL","Clothing","Unknown")))</f>
        <v>Unknown</v>
      </c>
    </row>
    <row r="4" spans="1:17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9"/>
      <c r="G4" s="7" t="str">
        <v>Arman Khan</v>
      </c>
      <c r="H4" s="7" t="str">
        <v>Mumbai</v>
      </c>
      <c r="I4" s="7" t="str">
        <v>ARMAN KHAN</v>
      </c>
      <c r="J4" s="7" t="str">
        <v>arman khan</v>
      </c>
      <c r="K4" s="7">
        <v>10</v>
      </c>
      <c r="L4" s="7" t="str">
        <v>CL</v>
      </c>
      <c r="M4" s="7" t="str">
        <v>SHR</v>
      </c>
      <c r="N4" s="7" t="str">
        <v>gmail.com</v>
      </c>
      <c r="O4" s="4" t="s">
        <v>64</v>
      </c>
      <c r="P4" s="4" t="s">
        <v>75</v>
      </c>
      <c r="Q4" s="4" t="str">
        <f t="shared" si="0"/>
        <v>Unknown</v>
      </c>
    </row>
    <row r="5" spans="1:17">
      <c r="A5" s="7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9"/>
      <c r="G5" s="7" t="str">
        <v>Zoya Ali</v>
      </c>
      <c r="H5" s="7" t="str">
        <v>Lucknow</v>
      </c>
      <c r="I5" s="7" t="str">
        <v xml:space="preserve">ZOYA ALI </v>
      </c>
      <c r="J5" s="7" t="str">
        <v xml:space="preserve">zoya ali </v>
      </c>
      <c r="K5" s="7">
        <v>9</v>
      </c>
      <c r="L5" s="7" t="str">
        <v>EL</v>
      </c>
      <c r="M5" s="7" t="str">
        <v>MON</v>
      </c>
      <c r="N5" s="7" t="str">
        <v>gmail.com</v>
      </c>
      <c r="O5" s="4" t="s">
        <v>65</v>
      </c>
      <c r="P5" s="4" t="s">
        <v>76</v>
      </c>
      <c r="Q5" s="4" t="str">
        <f t="shared" si="0"/>
        <v>Electronics</v>
      </c>
    </row>
    <row r="6" spans="1:17">
      <c r="A6" s="7" t="s">
        <v>25</v>
      </c>
      <c r="B6" s="8" t="s">
        <v>26</v>
      </c>
      <c r="C6" s="8" t="s">
        <v>27</v>
      </c>
      <c r="D6" s="8" t="s">
        <v>28</v>
      </c>
      <c r="E6" s="8" t="s">
        <v>29</v>
      </c>
      <c r="F6" s="9"/>
      <c r="G6" s="7" t="str">
        <v>Sameer Verma</v>
      </c>
      <c r="H6" s="7" t="str">
        <v>Delhi</v>
      </c>
      <c r="I6" s="7" t="str">
        <v xml:space="preserve">SAMEER VERMA </v>
      </c>
      <c r="J6" s="7" t="str">
        <v xml:space="preserve">sameer verma </v>
      </c>
      <c r="K6" s="7">
        <v>13</v>
      </c>
      <c r="L6" s="7" t="str">
        <v>FN</v>
      </c>
      <c r="M6" s="7" t="str">
        <v>TBL</v>
      </c>
      <c r="N6" s="7" t="str">
        <v>gmail.com</v>
      </c>
      <c r="O6" s="4" t="s">
        <v>66</v>
      </c>
      <c r="P6" s="4" t="s">
        <v>77</v>
      </c>
      <c r="Q6" s="4" t="str">
        <f t="shared" si="0"/>
        <v>Unknown</v>
      </c>
    </row>
    <row r="7" spans="1:17">
      <c r="A7" s="7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9"/>
      <c r="G7" s="7" t="str">
        <v>Ayesha Khan</v>
      </c>
      <c r="H7" s="7" t="str">
        <v>Mumbai</v>
      </c>
      <c r="I7" s="7" t="str">
        <v>AYESHA KHAN</v>
      </c>
      <c r="J7" s="7" t="str">
        <v>ayesha khan</v>
      </c>
      <c r="K7" s="7">
        <v>11</v>
      </c>
      <c r="L7" s="7" t="str">
        <v>CL</v>
      </c>
      <c r="M7" s="7" t="str">
        <v>JKT</v>
      </c>
      <c r="N7" s="7" t="str">
        <v>gmail.com</v>
      </c>
      <c r="O7" s="4" t="s">
        <v>67</v>
      </c>
      <c r="P7" s="4" t="s">
        <v>78</v>
      </c>
      <c r="Q7" s="4" t="str">
        <f t="shared" si="0"/>
        <v>Unknown</v>
      </c>
    </row>
    <row r="8" spans="1:17">
      <c r="A8" s="7" t="s">
        <v>35</v>
      </c>
      <c r="B8" s="8" t="s">
        <v>36</v>
      </c>
      <c r="C8" s="8" t="s">
        <v>37</v>
      </c>
      <c r="D8" s="8" t="s">
        <v>8</v>
      </c>
      <c r="E8" s="8" t="s">
        <v>38</v>
      </c>
      <c r="F8" s="9"/>
      <c r="G8" s="7" t="str">
        <v>Hamza Ahmed</v>
      </c>
      <c r="H8" s="7" t="str">
        <v>Lucknow</v>
      </c>
      <c r="I8" s="7" t="str">
        <v>HAMZA AHMED</v>
      </c>
      <c r="J8" s="7" t="str">
        <v>hamza ahmed</v>
      </c>
      <c r="K8" s="7">
        <v>11</v>
      </c>
      <c r="L8" s="7" t="str">
        <v>EL</v>
      </c>
      <c r="M8" s="7" t="str">
        <v>MOU</v>
      </c>
      <c r="N8" s="7" t="str">
        <v>gmail.com</v>
      </c>
      <c r="O8" s="4" t="s">
        <v>68</v>
      </c>
      <c r="P8" s="4" t="s">
        <v>79</v>
      </c>
      <c r="Q8" s="4" t="str">
        <f t="shared" si="0"/>
        <v>Electronics</v>
      </c>
    </row>
    <row r="9" spans="1:17">
      <c r="A9" s="7" t="s">
        <v>39</v>
      </c>
      <c r="B9" s="8" t="s">
        <v>40</v>
      </c>
      <c r="C9" s="8" t="s">
        <v>41</v>
      </c>
      <c r="D9" s="8" t="s">
        <v>42</v>
      </c>
      <c r="E9" s="8" t="s">
        <v>43</v>
      </c>
      <c r="F9" s="9"/>
      <c r="G9" s="7" t="str">
        <v>Fatima Ali</v>
      </c>
      <c r="H9" s="7" t="str">
        <v>Delhi</v>
      </c>
      <c r="I9" s="7" t="str">
        <v>FATIMA ALI</v>
      </c>
      <c r="J9" s="7" t="str">
        <v>fatima ali</v>
      </c>
      <c r="K9" s="7">
        <v>10</v>
      </c>
      <c r="L9" s="7" t="str">
        <v>FN</v>
      </c>
      <c r="M9" s="7" t="str">
        <v>CHR</v>
      </c>
      <c r="N9" s="7" t="str">
        <v>gmail.com</v>
      </c>
      <c r="O9" s="4" t="s">
        <v>69</v>
      </c>
      <c r="P9" s="4" t="s">
        <v>80</v>
      </c>
      <c r="Q9" s="4" t="str">
        <f t="shared" si="0"/>
        <v>Unknown</v>
      </c>
    </row>
    <row r="10" spans="1:17">
      <c r="A10" s="7" t="s">
        <v>44</v>
      </c>
      <c r="B10" s="8" t="s">
        <v>45</v>
      </c>
      <c r="C10" s="8" t="s">
        <v>46</v>
      </c>
      <c r="D10" s="8" t="s">
        <v>18</v>
      </c>
      <c r="E10" s="8" t="s">
        <v>47</v>
      </c>
      <c r="F10" s="9"/>
      <c r="G10" s="7" t="str">
        <v>Ali Raza</v>
      </c>
      <c r="H10" s="7" t="str">
        <v>Mumbai</v>
      </c>
      <c r="I10" s="7" t="str">
        <v>ALI RAZA</v>
      </c>
      <c r="J10" s="7" t="str">
        <v>ali raza</v>
      </c>
      <c r="K10" s="7">
        <v>8</v>
      </c>
      <c r="L10" s="7" t="str">
        <v>CL</v>
      </c>
      <c r="M10" s="7" t="str">
        <v>SHR</v>
      </c>
      <c r="N10" s="7" t="str">
        <v>gmail.com</v>
      </c>
      <c r="O10" s="4" t="s">
        <v>70</v>
      </c>
      <c r="P10" s="4" t="s">
        <v>81</v>
      </c>
      <c r="Q10" s="4" t="str">
        <f t="shared" si="0"/>
        <v>Unknown</v>
      </c>
    </row>
    <row r="11" spans="1:17">
      <c r="A11" s="7" t="s">
        <v>48</v>
      </c>
      <c r="B11" s="8" t="s">
        <v>49</v>
      </c>
      <c r="C11" s="8" t="s">
        <v>50</v>
      </c>
      <c r="D11" s="8" t="s">
        <v>51</v>
      </c>
      <c r="E11" s="8" t="s">
        <v>52</v>
      </c>
      <c r="F11" s="9"/>
      <c r="G11" s="7" t="str">
        <v>Sara Khan</v>
      </c>
      <c r="H11" s="7" t="str">
        <v>Lucknow</v>
      </c>
      <c r="I11" s="7" t="str">
        <v xml:space="preserve">SARA KHAN </v>
      </c>
      <c r="J11" s="7" t="str">
        <v xml:space="preserve">sara khan </v>
      </c>
      <c r="K11" s="7">
        <v>10</v>
      </c>
      <c r="L11" s="7" t="str">
        <v>EL</v>
      </c>
      <c r="M11" s="7" t="str">
        <v>LAP</v>
      </c>
      <c r="N11" s="7" t="str">
        <v>gmail.com</v>
      </c>
      <c r="O11" s="4" t="s">
        <v>71</v>
      </c>
      <c r="P11" s="4" t="s">
        <v>82</v>
      </c>
      <c r="Q11" s="4" t="str">
        <f t="shared" si="0"/>
        <v>Electronics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Raw Data</vt:lpstr>
      <vt:lpstr>Cleaned_Data</vt:lpstr>
      <vt:lpstr>City</vt:lpstr>
      <vt:lpstr>Customer_ID</vt:lpstr>
      <vt:lpstr>Customer_Name</vt:lpstr>
      <vt:lpstr>Email</vt:lpstr>
      <vt:lpstr>Product_Code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2026-09-07T14:59:48Z</dcterms:modified>
</cp:coreProperties>
</file>