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Day-05\"/>
    </mc:Choice>
  </mc:AlternateContent>
  <xr:revisionPtr revIDLastSave="0" documentId="13_ncr:1_{E084A5DF-D315-46C2-BD6E-38C52FF6A25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ales_Data-practice" sheetId="1" r:id="rId1"/>
    <sheet name="Product_Master-practice" sheetId="2" r:id="rId2"/>
    <sheet name="Sales Data" sheetId="3" r:id="rId3"/>
    <sheet name="Product Master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5" l="1"/>
  <c r="A17" i="5"/>
  <c r="I4" i="3"/>
  <c r="J2" i="3"/>
  <c r="I2" i="3"/>
  <c r="D15" i="3" a="1"/>
  <c r="D16" i="3" a="1"/>
  <c r="D14" i="3" a="1"/>
  <c r="R6" i="3"/>
  <c r="K2" i="3" a="1"/>
  <c r="B11" i="3" a="1"/>
  <c r="H3" i="3"/>
  <c r="H4" i="3"/>
  <c r="H5" i="3"/>
  <c r="H6" i="3"/>
  <c r="H7" i="3"/>
  <c r="H8" i="3"/>
  <c r="H9" i="3"/>
  <c r="H2" i="3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  <c r="E3" i="3"/>
  <c r="E4" i="3"/>
  <c r="E5" i="3"/>
  <c r="E6" i="3"/>
  <c r="E7" i="3"/>
  <c r="E8" i="3"/>
  <c r="E9" i="3"/>
  <c r="E2" i="3"/>
  <c r="E2" i="1"/>
  <c r="E3" i="1"/>
  <c r="E4" i="1"/>
  <c r="G3" i="1"/>
  <c r="H3" i="1" s="1"/>
  <c r="G4" i="1"/>
  <c r="H4" i="1" s="1"/>
  <c r="G2" i="1"/>
  <c r="H2" i="1" s="1"/>
  <c r="F3" i="1"/>
  <c r="F4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<sst xmlns="http://schemas.openxmlformats.org/spreadsheetml/2006/main" count="124" uniqueCount="76">
  <si>
    <t>Order_ID</t>
  </si>
  <si>
    <t>Product_ID</t>
  </si>
  <si>
    <t>Quantity</t>
  </si>
  <si>
    <t>Salesperson</t>
  </si>
  <si>
    <t>O001</t>
  </si>
  <si>
    <t>P101</t>
  </si>
  <si>
    <t>Rahul</t>
  </si>
  <si>
    <t>O002</t>
  </si>
  <si>
    <t>P103</t>
  </si>
  <si>
    <t>Priya</t>
  </si>
  <si>
    <t>O003</t>
  </si>
  <si>
    <t>P102</t>
  </si>
  <si>
    <t>Arman</t>
  </si>
  <si>
    <t>O004</t>
  </si>
  <si>
    <t>Zoya</t>
  </si>
  <si>
    <t>O005</t>
  </si>
  <si>
    <t>P104</t>
  </si>
  <si>
    <t>Hamza</t>
  </si>
  <si>
    <t>O006</t>
  </si>
  <si>
    <t>Sara</t>
  </si>
  <si>
    <t>O007</t>
  </si>
  <si>
    <t>Ali</t>
  </si>
  <si>
    <t>O008</t>
  </si>
  <si>
    <t>Fatima</t>
  </si>
  <si>
    <t>Product_Name</t>
  </si>
  <si>
    <t>Category</t>
  </si>
  <si>
    <t>Price</t>
  </si>
  <si>
    <t>Laptop</t>
  </si>
  <si>
    <t>Electronics</t>
  </si>
  <si>
    <t>Office Chair</t>
  </si>
  <si>
    <t>Furniture</t>
  </si>
  <si>
    <t>Shirt</t>
  </si>
  <si>
    <t>Clothing</t>
  </si>
  <si>
    <t>Monitor</t>
  </si>
  <si>
    <t>Product Name</t>
  </si>
  <si>
    <t>Total Price</t>
  </si>
  <si>
    <t>Unit_Price</t>
  </si>
  <si>
    <t>Total Sale</t>
  </si>
  <si>
    <t>Ele-Category</t>
  </si>
  <si>
    <t>Mex Sale</t>
  </si>
  <si>
    <t xml:space="preserve"> </t>
  </si>
  <si>
    <t>O009</t>
  </si>
  <si>
    <t>O010</t>
  </si>
  <si>
    <t>O011</t>
  </si>
  <si>
    <t>WEEK 02 — DAY 05</t>
  </si>
  <si>
    <t>LOOKUP FUNCTIONS</t>
  </si>
  <si>
    <t>XLOOKUP</t>
  </si>
  <si>
    <t>Searches for a value and returns the</t>
  </si>
  <si>
    <t>corresponding value from another range.</t>
  </si>
  <si>
    <t>Logic:</t>
  </si>
  <si>
    <t>What to find → Where to find → What to return</t>
  </si>
  <si>
    <t>VLOOKUP</t>
  </si>
  <si>
    <t>Searches the first column of a table and</t>
  </si>
  <si>
    <t>returns a value from a specified column.</t>
  </si>
  <si>
    <t>FALSE = Exact Match</t>
  </si>
  <si>
    <t>LOOKUP WORKFLOW</t>
  </si>
  <si>
    <t>Key / ID</t>
  </si>
  <si>
    <t>↓</t>
  </si>
  <si>
    <t>Search in Master Table</t>
  </si>
  <si>
    <t>Return Required Information</t>
  </si>
  <si>
    <t>Calculate</t>
  </si>
  <si>
    <t>Analyze</t>
  </si>
  <si>
    <t>PRACTICAL USE</t>
  </si>
  <si>
    <t>Product ID → Product Name</t>
  </si>
  <si>
    <t>Product ID → Category</t>
  </si>
  <si>
    <t>Product ID → Price</t>
  </si>
  <si>
    <t>LOOKUP + CALCULATION</t>
  </si>
  <si>
    <t>Quantity × Unit Price = Total Sales</t>
  </si>
  <si>
    <t>KEY LEARNING</t>
  </si>
  <si>
    <t>Lookup functions help combine information</t>
  </si>
  <si>
    <t>stored in different tables and make analysis</t>
  </si>
  <si>
    <t>more efficient.</t>
  </si>
  <si>
    <t>XLOOKUP is more flexible and easier to use,</t>
  </si>
  <si>
    <t>while VLOOKUP is important for working with</t>
  </si>
  <si>
    <t>older Excel files.</t>
  </si>
  <si>
    <t>Status: COMPLETED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</si>
</sst>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30" zoomScaleNormal="130" workbookViewId="0">
      <selection activeCell="A6" sqref="A6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8.7109375" bestFit="1" customWidth="1"/>
    <col min="4" max="4" width="8.7109375" customWidth="1"/>
    <col min="5" max="6" width="13.7109375" bestFit="1" customWidth="1"/>
    <col min="7" max="7" width="10.5703125" bestFit="1" customWidth="1"/>
    <col min="8" max="8" width="10.28515625" bestFit="1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12"/>
      <c r="E1" s="11" t="s">
        <v>34</v>
      </c>
      <c r="F1" s="11" t="s">
        <v>25</v>
      </c>
      <c r="G1" s="11" t="s">
        <v>26</v>
      </c>
      <c r="H1" s="11" t="s">
        <v>35</v>
      </c>
    </row>
    <row r="2" spans="1:8" x14ac:dyDescent="0.25">
      <c r="A2" s="7" t="s">
        <v>4</v>
      </c>
      <c r="B2" s="7" t="s">
        <v>5</v>
      </c>
      <c r="C2" s="7">
        <v>2</v>
      </c>
      <c r="D2" s="13"/>
      <c r="E2" s="9" t="str">
        <f>_xlfn.XLOOKUP(B2,'Product_Master-practice'!$A$2:$A$4,'Product_Master-practice'!$B$2:$B$4)</f>
        <v>Laptop</v>
      </c>
      <c r="F2" s="9" t="str">
        <f>_xlfn.XLOOKUP(B2,'Product_Master-practice'!$A$2:$A$4,'Product_Master-practice'!$C$2:$C$4)</f>
        <v>Electronics</v>
      </c>
      <c r="G2" s="10">
        <f>_xlfn.XLOOKUP(B2,'Product_Master-practice'!$A$2:$A$4,'Product_Master-practice'!$D$2:$D$4)</f>
        <v>55000</v>
      </c>
      <c r="H2" s="10">
        <f>G2*C2</f>
        <v>110000</v>
      </c>
    </row>
    <row r="3" spans="1:8" x14ac:dyDescent="0.25">
      <c r="A3" s="7" t="s">
        <v>7</v>
      </c>
      <c r="B3" s="7" t="s">
        <v>8</v>
      </c>
      <c r="C3" s="7">
        <v>5</v>
      </c>
      <c r="D3" s="13"/>
      <c r="E3" s="9" t="str">
        <f>_xlfn.XLOOKUP(B3,'Product_Master-practice'!$A$2:$A$4,'Product_Master-practice'!$B$2:$B$4)</f>
        <v>Shirt</v>
      </c>
      <c r="F3" s="9" t="str">
        <f>_xlfn.XLOOKUP(B3,'Product_Master-practice'!$A$2:$A$4,'Product_Master-practice'!$C$2:$C$4)</f>
        <v>Clothing</v>
      </c>
      <c r="G3" s="10">
        <f>_xlfn.XLOOKUP(B3,'Product_Master-practice'!$A$2:$A$4,'Product_Master-practice'!$D$2:$D$4)</f>
        <v>1200</v>
      </c>
      <c r="H3" s="10">
        <f>G3*C3</f>
        <v>6000</v>
      </c>
    </row>
    <row r="4" spans="1:8" x14ac:dyDescent="0.25">
      <c r="A4" s="7" t="s">
        <v>10</v>
      </c>
      <c r="B4" s="7" t="s">
        <v>11</v>
      </c>
      <c r="C4" s="7">
        <v>3</v>
      </c>
      <c r="D4" s="13"/>
      <c r="E4" s="9" t="str">
        <f>_xlfn.XLOOKUP(B4,'Product_Master-practice'!$A$2:$A$4,'Product_Master-practice'!$B$2:$B$4)</f>
        <v>Office Chair</v>
      </c>
      <c r="F4" s="9" t="str">
        <f>_xlfn.XLOOKUP(B4,'Product_Master-practice'!$A$2:$A$4,'Product_Master-practice'!$C$2:$C$4)</f>
        <v>Furniture</v>
      </c>
      <c r="G4" s="10">
        <f>_xlfn.XLOOKUP(B4,'Product_Master-practice'!$A$2:$A$4,'Product_Master-practice'!$D$2:$D$4)</f>
        <v>5000</v>
      </c>
      <c r="H4" s="10">
        <f>G4*C4</f>
        <v>15000</v>
      </c>
    </row>
    <row r="5" spans="1:8" x14ac:dyDescent="0.25">
      <c r="A5" s="3"/>
      <c r="B5" s="3"/>
      <c r="C5" s="3"/>
      <c r="D5" s="3"/>
      <c r="E5" s="3"/>
      <c r="F5" s="3"/>
    </row>
    <row r="6" spans="1:8" x14ac:dyDescent="0.25">
      <c r="A6" s="3"/>
      <c r="B6" s="3"/>
      <c r="C6" s="3"/>
      <c r="D6" s="3"/>
      <c r="E6" s="3"/>
      <c r="F6" s="3"/>
    </row>
    <row r="7" spans="1:8" x14ac:dyDescent="0.25">
      <c r="A7" s="3"/>
      <c r="B7" s="3"/>
      <c r="C7" s="3"/>
      <c r="D7" s="3"/>
      <c r="E7" s="3"/>
      <c r="F7" s="3"/>
    </row>
    <row r="8" spans="1:8" x14ac:dyDescent="0.25">
      <c r="A8" s="3"/>
      <c r="B8" s="3"/>
      <c r="C8" s="3"/>
      <c r="D8" s="3"/>
      <c r="E8" s="3"/>
      <c r="F8" s="3"/>
    </row>
    <row r="9" spans="1:8" x14ac:dyDescent="0.25">
      <c r="A9" s="3"/>
      <c r="B9" s="3"/>
      <c r="C9" s="3"/>
      <c r="D9" s="3"/>
      <c r="E9" s="3"/>
      <c r="F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314F-9629-4D35-8B61-FF161EADF04C}">
  <dimension ref="A1:D5"/>
  <sheetViews>
    <sheetView workbookViewId="0">
      <selection activeCell="C11" sqref="C11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0.5703125" bestFit="1" customWidth="1"/>
    <col min="4" max="4" width="6" bestFit="1" customWidth="1"/>
  </cols>
  <sheetData>
    <row r="1" spans="1:4" x14ac:dyDescent="0.25">
      <c r="A1" s="6" t="s">
        <v>1</v>
      </c>
      <c r="B1" s="6" t="s">
        <v>24</v>
      </c>
      <c r="C1" s="6" t="s">
        <v>25</v>
      </c>
      <c r="D1" s="6" t="s">
        <v>26</v>
      </c>
    </row>
    <row r="2" spans="1:4" x14ac:dyDescent="0.25">
      <c r="A2" s="5" t="s">
        <v>5</v>
      </c>
      <c r="B2" s="5" t="s">
        <v>27</v>
      </c>
      <c r="C2" s="5" t="s">
        <v>28</v>
      </c>
      <c r="D2" s="5">
        <v>55000</v>
      </c>
    </row>
    <row r="3" spans="1:4" x14ac:dyDescent="0.25">
      <c r="A3" s="5" t="s">
        <v>11</v>
      </c>
      <c r="B3" s="5" t="s">
        <v>29</v>
      </c>
      <c r="C3" s="5" t="s">
        <v>30</v>
      </c>
      <c r="D3" s="5">
        <v>5000</v>
      </c>
    </row>
    <row r="4" spans="1:4" x14ac:dyDescent="0.25">
      <c r="A4" s="5" t="s">
        <v>8</v>
      </c>
      <c r="B4" s="5" t="s">
        <v>31</v>
      </c>
      <c r="C4" s="5" t="s">
        <v>32</v>
      </c>
      <c r="D4" s="5">
        <v>1200</v>
      </c>
    </row>
    <row r="5" spans="1:4" x14ac:dyDescent="0.25">
      <c r="A5" s="1"/>
      <c r="B5" s="1"/>
      <c r="C5" s="1"/>
      <c r="D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470D-55E4-4B73-A139-74565457C107}">
  <dimension ref="A1:R16"/>
  <sheetViews>
    <sheetView topLeftCell="A6" zoomScale="120" zoomScaleNormal="120" workbookViewId="0">
      <selection activeCell="C14" sqref="C14:H16"/>
    </sheetView>
  </sheetViews>
  <sheetFormatPr defaultRowHeight="15" x14ac:dyDescent="0.25"/>
  <cols>
    <col min="1" max="1" width="9" style="2" bestFit="1" customWidth="1"/>
    <col min="2" max="2" width="10.7109375" style="2" bestFit="1" customWidth="1"/>
    <col min="3" max="3" width="8.7109375" style="2" bestFit="1" customWidth="1"/>
    <col min="4" max="4" width="11.7109375" style="2" bestFit="1" customWidth="1"/>
    <col min="5" max="5" width="14.140625" style="2" bestFit="1" customWidth="1"/>
    <col min="6" max="6" width="10.5703125" style="2" bestFit="1" customWidth="1"/>
    <col min="7" max="7" width="10.42578125" style="2" bestFit="1" customWidth="1"/>
    <col min="8" max="9" width="9.140625" style="2"/>
    <col min="10" max="10" width="12.5703125" style="2" bestFit="1" customWidth="1"/>
    <col min="11" max="16384" width="9.140625" style="2"/>
  </cols>
  <sheetData>
    <row r="1" spans="1:1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34</v>
      </c>
      <c r="F1" s="6" t="s">
        <v>25</v>
      </c>
      <c r="G1" s="6" t="s">
        <v>36</v>
      </c>
      <c r="H1" s="6" t="s">
        <v>37</v>
      </c>
      <c r="I1" s="18" t="s">
        <v>8</v>
      </c>
      <c r="J1" s="6" t="s">
        <v>38</v>
      </c>
      <c r="K1" s="15" t="s">
        <v>39</v>
      </c>
      <c r="L1" s="16"/>
      <c r="M1" s="16"/>
      <c r="N1" s="16"/>
      <c r="O1" s="16"/>
      <c r="P1" s="16"/>
      <c r="Q1" s="16"/>
      <c r="R1" s="17"/>
    </row>
    <row r="2" spans="1:18" x14ac:dyDescent="0.25">
      <c r="A2" s="14" t="s">
        <v>4</v>
      </c>
      <c r="B2" s="14" t="s">
        <v>5</v>
      </c>
      <c r="C2" s="14">
        <v>2</v>
      </c>
      <c r="D2" s="14" t="s">
        <v>6</v>
      </c>
      <c r="E2" s="14" t="str">
        <f>_xlfn.XLOOKUP(B2,'Product Master'!$A$2:$A$5,'Product Master'!$B$2:$B$5)</f>
        <v>Laptop</v>
      </c>
      <c r="F2" s="14" t="str">
        <f>VLOOKUP(B2,'Product Master'!$A$2:$D$5,3,FALSE)</f>
        <v>Electronics</v>
      </c>
      <c r="G2" s="14">
        <f>_xlfn.XLOOKUP(B2,'Product Master'!$A$2:$A$5,'Product Master'!$D$2:$D$5)</f>
        <v>55000</v>
      </c>
      <c r="H2" s="14">
        <f>G2*C2</f>
        <v>110000</v>
      </c>
      <c r="I2" s="14">
        <f>COUNTIF(B2:B9,"=P103")</f>
        <v>2</v>
      </c>
      <c r="J2" s="14">
        <f>SUM(R2:R5)</f>
        <v>420000</v>
      </c>
      <c r="K2" s="14" t="str" cm="1">
        <f t="array" ref="K2:R5">_xlfn._xlws.FILTER(A2:H9,F2:F9="Electronics",MAX(H2:H9))</f>
        <v>O001</v>
      </c>
      <c r="L2" s="14" t="str">
        <v>P101</v>
      </c>
      <c r="M2" s="14">
        <v>2</v>
      </c>
      <c r="N2" s="14" t="str">
        <v>Rahul</v>
      </c>
      <c r="O2" s="14" t="str">
        <v>Laptop</v>
      </c>
      <c r="P2" s="14" t="str">
        <v>Electronics</v>
      </c>
      <c r="Q2" s="14">
        <v>55000</v>
      </c>
      <c r="R2" s="14">
        <v>110000</v>
      </c>
    </row>
    <row r="3" spans="1:18" x14ac:dyDescent="0.25">
      <c r="A3" s="14" t="s">
        <v>7</v>
      </c>
      <c r="B3" s="14" t="s">
        <v>8</v>
      </c>
      <c r="C3" s="14">
        <v>5</v>
      </c>
      <c r="D3" s="14" t="s">
        <v>9</v>
      </c>
      <c r="E3" s="14" t="str">
        <f>_xlfn.XLOOKUP(B3,'Product Master'!$A$2:$A$5,'Product Master'!$B$2:$B$5)</f>
        <v>Shirt</v>
      </c>
      <c r="F3" s="14" t="str">
        <f>VLOOKUP(B3,'Product Master'!$A$2:$D$5,3,FALSE)</f>
        <v>Clothing</v>
      </c>
      <c r="G3" s="14">
        <f>_xlfn.XLOOKUP(B3,'Product Master'!$A$2:$A$5,'Product Master'!$D$2:$D$5)</f>
        <v>1200</v>
      </c>
      <c r="H3" s="14">
        <f t="shared" ref="H3:H9" si="0">G3*C3</f>
        <v>6000</v>
      </c>
      <c r="I3" s="18" t="s">
        <v>5</v>
      </c>
      <c r="K3" s="14" t="str">
        <v>O004</v>
      </c>
      <c r="L3" s="14" t="str">
        <v>P101</v>
      </c>
      <c r="M3" s="14">
        <v>4</v>
      </c>
      <c r="N3" s="14" t="str">
        <v>Zoya</v>
      </c>
      <c r="O3" s="14" t="str">
        <v>Laptop</v>
      </c>
      <c r="P3" s="14" t="str">
        <v>Electronics</v>
      </c>
      <c r="Q3" s="14">
        <v>55000</v>
      </c>
      <c r="R3" s="14">
        <v>220000</v>
      </c>
    </row>
    <row r="4" spans="1:18" x14ac:dyDescent="0.25">
      <c r="A4" s="14" t="s">
        <v>10</v>
      </c>
      <c r="B4" s="14" t="s">
        <v>11</v>
      </c>
      <c r="C4" s="14">
        <v>3</v>
      </c>
      <c r="D4" s="14" t="s">
        <v>12</v>
      </c>
      <c r="E4" s="14" t="str">
        <f>_xlfn.XLOOKUP(B4,'Product Master'!$A$2:$A$5,'Product Master'!$B$2:$B$5)</f>
        <v>Office Chair</v>
      </c>
      <c r="F4" s="14" t="str">
        <f>VLOOKUP(B4,'Product Master'!$A$2:$D$5,3,FALSE)</f>
        <v>Furniture</v>
      </c>
      <c r="G4" s="14">
        <f>_xlfn.XLOOKUP(B4,'Product Master'!$A$2:$A$5,'Product Master'!$D$2:$D$5)</f>
        <v>5000</v>
      </c>
      <c r="H4" s="14">
        <f t="shared" si="0"/>
        <v>15000</v>
      </c>
      <c r="I4" s="14">
        <f>SUMIF(B2:B9,"P101",C2:C9)</f>
        <v>6</v>
      </c>
      <c r="K4" s="14" t="str">
        <v>O005</v>
      </c>
      <c r="L4" s="14" t="str">
        <v>P104</v>
      </c>
      <c r="M4" s="14">
        <v>2</v>
      </c>
      <c r="N4" s="14" t="str">
        <v>Hamza</v>
      </c>
      <c r="O4" s="14" t="str">
        <v>Monitor</v>
      </c>
      <c r="P4" s="14" t="str">
        <v>Electronics</v>
      </c>
      <c r="Q4" s="14">
        <v>18000</v>
      </c>
      <c r="R4" s="14">
        <v>36000</v>
      </c>
    </row>
    <row r="5" spans="1:18" x14ac:dyDescent="0.25">
      <c r="A5" s="14" t="s">
        <v>13</v>
      </c>
      <c r="B5" s="14" t="s">
        <v>5</v>
      </c>
      <c r="C5" s="14">
        <v>4</v>
      </c>
      <c r="D5" s="14" t="s">
        <v>14</v>
      </c>
      <c r="E5" s="14" t="str">
        <f>_xlfn.XLOOKUP(B5,'Product Master'!$A$2:$A$5,'Product Master'!$B$2:$B$5)</f>
        <v>Laptop</v>
      </c>
      <c r="F5" s="14" t="str">
        <f>VLOOKUP(B5,'Product Master'!$A$2:$D$5,3,FALSE)</f>
        <v>Electronics</v>
      </c>
      <c r="G5" s="14">
        <f>_xlfn.XLOOKUP(B5,'Product Master'!$A$2:$A$5,'Product Master'!$D$2:$D$5)</f>
        <v>55000</v>
      </c>
      <c r="H5" s="14">
        <f t="shared" si="0"/>
        <v>220000</v>
      </c>
      <c r="K5" s="14" t="str">
        <v>O008</v>
      </c>
      <c r="L5" s="14" t="str">
        <v>P104</v>
      </c>
      <c r="M5" s="14">
        <v>3</v>
      </c>
      <c r="N5" s="14" t="str">
        <v>Fatima</v>
      </c>
      <c r="O5" s="14" t="str">
        <v>Monitor</v>
      </c>
      <c r="P5" s="14" t="str">
        <v>Electronics</v>
      </c>
      <c r="Q5" s="14">
        <v>18000</v>
      </c>
      <c r="R5" s="14">
        <v>54000</v>
      </c>
    </row>
    <row r="6" spans="1:18" x14ac:dyDescent="0.25">
      <c r="A6" s="14" t="s">
        <v>15</v>
      </c>
      <c r="B6" s="14" t="s">
        <v>16</v>
      </c>
      <c r="C6" s="14">
        <v>2</v>
      </c>
      <c r="D6" s="14" t="s">
        <v>17</v>
      </c>
      <c r="E6" s="14" t="str">
        <f>_xlfn.XLOOKUP(B6,'Product Master'!$A$2:$A$5,'Product Master'!$B$2:$B$5)</f>
        <v>Monitor</v>
      </c>
      <c r="F6" s="14" t="str">
        <f>VLOOKUP(B6,'Product Master'!$A$2:$D$5,3,FALSE)</f>
        <v>Electronics</v>
      </c>
      <c r="G6" s="14">
        <f>_xlfn.XLOOKUP(B6,'Product Master'!$A$2:$A$5,'Product Master'!$D$2:$D$5)</f>
        <v>18000</v>
      </c>
      <c r="H6" s="14">
        <f t="shared" si="0"/>
        <v>36000</v>
      </c>
      <c r="R6" s="14">
        <f>MAX(R2:R5)</f>
        <v>220000</v>
      </c>
    </row>
    <row r="7" spans="1:18" x14ac:dyDescent="0.25">
      <c r="A7" s="14" t="s">
        <v>18</v>
      </c>
      <c r="B7" s="14" t="s">
        <v>8</v>
      </c>
      <c r="C7" s="14">
        <v>6</v>
      </c>
      <c r="D7" s="14" t="s">
        <v>19</v>
      </c>
      <c r="E7" s="14" t="str">
        <f>_xlfn.XLOOKUP(B7,'Product Master'!$A$2:$A$5,'Product Master'!$B$2:$B$5)</f>
        <v>Shirt</v>
      </c>
      <c r="F7" s="14" t="str">
        <f>VLOOKUP(B7,'Product Master'!$A$2:$D$5,3,FALSE)</f>
        <v>Clothing</v>
      </c>
      <c r="G7" s="14">
        <f>_xlfn.XLOOKUP(B7,'Product Master'!$A$2:$A$5,'Product Master'!$D$2:$D$5)</f>
        <v>1200</v>
      </c>
      <c r="H7" s="14">
        <f t="shared" si="0"/>
        <v>7200</v>
      </c>
      <c r="R7" s="2" t="s">
        <v>40</v>
      </c>
    </row>
    <row r="8" spans="1:18" x14ac:dyDescent="0.25">
      <c r="A8" s="14" t="s">
        <v>20</v>
      </c>
      <c r="B8" s="14" t="s">
        <v>11</v>
      </c>
      <c r="C8" s="14">
        <v>1</v>
      </c>
      <c r="D8" s="14" t="s">
        <v>21</v>
      </c>
      <c r="E8" s="14" t="str">
        <f>_xlfn.XLOOKUP(B8,'Product Master'!$A$2:$A$5,'Product Master'!$B$2:$B$5)</f>
        <v>Office Chair</v>
      </c>
      <c r="F8" s="14" t="str">
        <f>VLOOKUP(B8,'Product Master'!$A$2:$D$5,3,FALSE)</f>
        <v>Furniture</v>
      </c>
      <c r="G8" s="14">
        <f>_xlfn.XLOOKUP(B8,'Product Master'!$A$2:$A$5,'Product Master'!$D$2:$D$5)</f>
        <v>5000</v>
      </c>
      <c r="H8" s="14">
        <f t="shared" si="0"/>
        <v>5000</v>
      </c>
    </row>
    <row r="9" spans="1:18" x14ac:dyDescent="0.25">
      <c r="A9" s="14" t="s">
        <v>22</v>
      </c>
      <c r="B9" s="14" t="s">
        <v>16</v>
      </c>
      <c r="C9" s="14">
        <v>3</v>
      </c>
      <c r="D9" s="14" t="s">
        <v>23</v>
      </c>
      <c r="E9" s="14" t="str">
        <f>_xlfn.XLOOKUP(B9,'Product Master'!$A$2:$A$5,'Product Master'!$B$2:$B$5)</f>
        <v>Monitor</v>
      </c>
      <c r="F9" s="14" t="str">
        <f>VLOOKUP(B9,'Product Master'!$A$2:$D$5,3,FALSE)</f>
        <v>Electronics</v>
      </c>
      <c r="G9" s="14">
        <f>_xlfn.XLOOKUP(B9,'Product Master'!$A$2:$A$5,'Product Master'!$D$2:$D$5)</f>
        <v>18000</v>
      </c>
      <c r="H9" s="14">
        <f t="shared" si="0"/>
        <v>54000</v>
      </c>
    </row>
    <row r="11" spans="1:18" x14ac:dyDescent="0.25">
      <c r="A11" s="14" t="s">
        <v>15</v>
      </c>
      <c r="B11" s="14" cm="1">
        <f t="array" ref="B11:G11">_xlfn.XLOOKUP(A11,A2:A9,C2:H9)</f>
        <v>2</v>
      </c>
      <c r="C11" s="14" t="str">
        <v>Hamza</v>
      </c>
      <c r="D11" s="14" t="str">
        <v>Monitor</v>
      </c>
      <c r="E11" s="14" t="str">
        <v>Electronics</v>
      </c>
      <c r="F11" s="14">
        <v>18000</v>
      </c>
      <c r="G11" s="14">
        <v>36000</v>
      </c>
    </row>
    <row r="13" spans="1:18" x14ac:dyDescent="0.25">
      <c r="A13" s="6" t="s">
        <v>0</v>
      </c>
      <c r="B13" s="6" t="s">
        <v>1</v>
      </c>
      <c r="C13" s="20" t="s">
        <v>2</v>
      </c>
    </row>
    <row r="14" spans="1:18" x14ac:dyDescent="0.25">
      <c r="A14" s="14" t="s">
        <v>41</v>
      </c>
      <c r="B14" s="14" t="s">
        <v>16</v>
      </c>
      <c r="C14" s="19">
        <v>4</v>
      </c>
      <c r="D14" s="19" t="str" cm="1">
        <f t="array" ref="D14:H14">_xlfn.XLOOKUP(B14,B2:B9,D2:H9)</f>
        <v>Hamza</v>
      </c>
      <c r="E14" s="19" t="str">
        <v>Monitor</v>
      </c>
      <c r="F14" s="19" t="str">
        <v>Electronics</v>
      </c>
      <c r="G14" s="19">
        <v>18000</v>
      </c>
      <c r="H14" s="19">
        <v>36000</v>
      </c>
    </row>
    <row r="15" spans="1:18" x14ac:dyDescent="0.25">
      <c r="A15" s="14" t="s">
        <v>42</v>
      </c>
      <c r="B15" s="14" t="s">
        <v>5</v>
      </c>
      <c r="C15" s="19">
        <v>1</v>
      </c>
      <c r="D15" s="19" t="str" cm="1">
        <f t="array" ref="D15:H15">_xlfn.XLOOKUP(B15,B3:B10,D3:H10)</f>
        <v>Zoya</v>
      </c>
      <c r="E15" s="19" t="str">
        <v>Laptop</v>
      </c>
      <c r="F15" s="19" t="str">
        <v>Electronics</v>
      </c>
      <c r="G15" s="19">
        <v>55000</v>
      </c>
      <c r="H15" s="19">
        <v>220000</v>
      </c>
    </row>
    <row r="16" spans="1:18" x14ac:dyDescent="0.25">
      <c r="A16" s="14" t="s">
        <v>43</v>
      </c>
      <c r="B16" s="14" t="s">
        <v>8</v>
      </c>
      <c r="C16" s="19">
        <v>8</v>
      </c>
      <c r="D16" s="19" t="str" cm="1">
        <f t="array" ref="D16:H16">_xlfn.XLOOKUP(B16,B4:B11,D4:H11)</f>
        <v>Sara</v>
      </c>
      <c r="E16" s="19" t="str">
        <v>Shirt</v>
      </c>
      <c r="F16" s="19" t="str">
        <v>Clothing</v>
      </c>
      <c r="G16" s="19">
        <v>1200</v>
      </c>
      <c r="H16" s="19">
        <v>7200</v>
      </c>
    </row>
  </sheetData>
  <mergeCells count="1">
    <mergeCell ref="K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854B-83F0-484D-9B80-FA989C633648}">
  <dimension ref="A1:D5"/>
  <sheetViews>
    <sheetView zoomScale="120" zoomScaleNormal="120" workbookViewId="0">
      <selection activeCell="I15" sqref="I15"/>
    </sheetView>
  </sheetViews>
  <sheetFormatPr defaultRowHeight="15" x14ac:dyDescent="0.25"/>
  <cols>
    <col min="1" max="1" width="10.7109375" style="4" bestFit="1" customWidth="1"/>
    <col min="2" max="2" width="14.28515625" style="4" bestFit="1" customWidth="1"/>
    <col min="3" max="3" width="10.5703125" style="4" bestFit="1" customWidth="1"/>
    <col min="4" max="16384" width="9.140625" style="4"/>
  </cols>
  <sheetData>
    <row r="1" spans="1:4" x14ac:dyDescent="0.25">
      <c r="A1" s="6" t="s">
        <v>1</v>
      </c>
      <c r="B1" s="6" t="s">
        <v>24</v>
      </c>
      <c r="C1" s="6" t="s">
        <v>25</v>
      </c>
      <c r="D1" s="6" t="s">
        <v>26</v>
      </c>
    </row>
    <row r="2" spans="1:4" x14ac:dyDescent="0.25">
      <c r="A2" s="5" t="s">
        <v>5</v>
      </c>
      <c r="B2" s="5" t="s">
        <v>27</v>
      </c>
      <c r="C2" s="5" t="s">
        <v>28</v>
      </c>
      <c r="D2" s="5">
        <v>55000</v>
      </c>
    </row>
    <row r="3" spans="1:4" x14ac:dyDescent="0.25">
      <c r="A3" s="5" t="s">
        <v>11</v>
      </c>
      <c r="B3" s="5" t="s">
        <v>29</v>
      </c>
      <c r="C3" s="5" t="s">
        <v>30</v>
      </c>
      <c r="D3" s="5">
        <v>5000</v>
      </c>
    </row>
    <row r="4" spans="1:4" x14ac:dyDescent="0.25">
      <c r="A4" s="5" t="s">
        <v>8</v>
      </c>
      <c r="B4" s="5" t="s">
        <v>31</v>
      </c>
      <c r="C4" s="5" t="s">
        <v>32</v>
      </c>
      <c r="D4" s="5">
        <v>1200</v>
      </c>
    </row>
    <row r="5" spans="1:4" x14ac:dyDescent="0.25">
      <c r="A5" s="5" t="s">
        <v>16</v>
      </c>
      <c r="B5" s="5" t="s">
        <v>33</v>
      </c>
      <c r="C5" s="5" t="s">
        <v>28</v>
      </c>
      <c r="D5" s="5">
        <v>18000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F652-7A80-4D67-B653-77D02DCA46CF}">
  <dimension ref="A1:A53"/>
  <sheetViews>
    <sheetView tabSelected="1" workbookViewId="0">
      <selection activeCell="K11" sqref="K11"/>
    </sheetView>
  </sheetViews>
  <sheetFormatPr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8" spans="1:1" x14ac:dyDescent="0.25">
      <c r="A8">
        <f>_xlfn.XLOOKUP(B2,$F$2:$F$5,$G$2:$G$5)</f>
        <v>0</v>
      </c>
    </row>
    <row r="10" spans="1:1" x14ac:dyDescent="0.25">
      <c r="A10" t="s">
        <v>49</v>
      </c>
    </row>
    <row r="11" spans="1:1" x14ac:dyDescent="0.25">
      <c r="A11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7" spans="1:1" x14ac:dyDescent="0.25">
      <c r="A17" t="e">
        <f>VLOOKUP(B2,$F$2:$I$5,2,FALSE)</f>
        <v>#N/A</v>
      </c>
    </row>
    <row r="19" spans="1:1" x14ac:dyDescent="0.25">
      <c r="A19" t="s">
        <v>54</v>
      </c>
    </row>
    <row r="21" spans="1:1" x14ac:dyDescent="0.25">
      <c r="A21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57</v>
      </c>
    </row>
    <row r="27" spans="1:1" x14ac:dyDescent="0.25">
      <c r="A27" t="s">
        <v>59</v>
      </c>
    </row>
    <row r="28" spans="1:1" x14ac:dyDescent="0.25">
      <c r="A28" t="s">
        <v>57</v>
      </c>
    </row>
    <row r="29" spans="1:1" x14ac:dyDescent="0.25">
      <c r="A29" t="s">
        <v>60</v>
      </c>
    </row>
    <row r="30" spans="1:1" x14ac:dyDescent="0.25">
      <c r="A30" t="s">
        <v>57</v>
      </c>
    </row>
    <row r="31" spans="1:1" x14ac:dyDescent="0.25">
      <c r="A31" t="s">
        <v>61</v>
      </c>
    </row>
    <row r="33" spans="1:1" x14ac:dyDescent="0.25">
      <c r="A33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9" spans="1:1" x14ac:dyDescent="0.25">
      <c r="A39" t="s">
        <v>66</v>
      </c>
    </row>
    <row r="41" spans="1:1" x14ac:dyDescent="0.25">
      <c r="A41" t="s">
        <v>67</v>
      </c>
    </row>
    <row r="43" spans="1:1" x14ac:dyDescent="0.25">
      <c r="A43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  <row r="53" spans="1:1" x14ac:dyDescent="0.25">
      <c r="A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Sales_Data-practice</vt:lpstr>
      <vt:lpstr>Product_Master-practice</vt:lpstr>
      <vt:lpstr>Sales Data</vt:lpstr>
      <vt:lpstr>Product Master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cp:lastPrinted>2026-09-12T12:08:12Z</cp:lastPrinted>
  <dcterms:created xsi:type="dcterms:W3CDTF">2015-06-05T18:17:20Z</dcterms:created>
  <dcterms:modified xsi:type="dcterms:W3CDTF">2026-09-12T13:45:33Z</dcterms:modified>
</cp:coreProperties>
</file>