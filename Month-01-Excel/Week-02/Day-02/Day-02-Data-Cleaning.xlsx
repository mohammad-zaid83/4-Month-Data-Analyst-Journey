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2\Day-02\"/>
    </mc:Choice>
  </mc:AlternateContent>
  <xr:revisionPtr revIDLastSave="0" documentId="13_ncr:1_{E6ED3CFE-8067-4143-8058-EBC3540AD86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aw Data" sheetId="1" r:id="rId1"/>
    <sheet name="Cleaned Data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A10" i="3"/>
  <c r="A14" i="3"/>
  <c r="A18" i="3"/>
  <c r="A22" i="3" a="1"/>
  <c r="A26" i="3" a="1"/>
  <c r="A30" i="3" a="1"/>
  <c r="A43" i="3" a="1"/>
  <c r="S3" i="2"/>
  <c r="S4" i="2"/>
  <c r="S5" i="2"/>
  <c r="S6" i="2"/>
  <c r="S7" i="2"/>
  <c r="S8" i="2"/>
  <c r="S9" i="2"/>
  <c r="S10" i="2"/>
  <c r="S11" i="2"/>
  <c r="S2" i="2"/>
  <c r="R3" i="2"/>
  <c r="R4" i="2"/>
  <c r="R5" i="2"/>
  <c r="R6" i="2"/>
  <c r="R7" i="2"/>
  <c r="R8" i="2"/>
  <c r="R9" i="2"/>
  <c r="R10" i="2"/>
  <c r="R11" i="2"/>
  <c r="R2" i="2"/>
  <c r="Q3" i="2"/>
  <c r="Q4" i="2"/>
  <c r="Q5" i="2"/>
  <c r="Q6" i="2"/>
  <c r="Q7" i="2"/>
  <c r="Q8" i="2"/>
  <c r="Q9" i="2"/>
  <c r="Q10" i="2"/>
  <c r="Q11" i="2"/>
  <c r="Q2" i="2"/>
  <c r="M2" i="2"/>
  <c r="L3" i="2"/>
  <c r="L4" i="2"/>
  <c r="L5" i="2"/>
  <c r="L6" i="2"/>
  <c r="L7" i="2"/>
  <c r="L8" i="2"/>
  <c r="L9" i="2"/>
  <c r="L10" i="2"/>
  <c r="L11" i="2"/>
  <c r="M3" i="2"/>
  <c r="M4" i="2"/>
  <c r="M5" i="2"/>
  <c r="M6" i="2"/>
  <c r="M7" i="2"/>
  <c r="M8" i="2"/>
  <c r="M9" i="2"/>
  <c r="M10" i="2"/>
  <c r="M11" i="2"/>
  <c r="P3" i="2"/>
  <c r="P4" i="2"/>
  <c r="P5" i="2"/>
  <c r="P6" i="2"/>
  <c r="P7" i="2"/>
  <c r="P8" i="2"/>
  <c r="P9" i="2"/>
  <c r="P10" i="2"/>
  <c r="P11" i="2"/>
  <c r="P2" i="2"/>
  <c r="O3" i="2"/>
  <c r="O4" i="2"/>
  <c r="O5" i="2"/>
  <c r="O6" i="2"/>
  <c r="O7" i="2"/>
  <c r="O8" i="2"/>
  <c r="O9" i="2"/>
  <c r="O10" i="2"/>
  <c r="O11" i="2"/>
  <c r="O2" i="2"/>
  <c r="N3" i="2"/>
  <c r="N4" i="2"/>
  <c r="N5" i="2"/>
  <c r="N6" i="2"/>
  <c r="N7" i="2"/>
  <c r="N8" i="2"/>
  <c r="N9" i="2"/>
  <c r="N10" i="2"/>
  <c r="N11" i="2"/>
  <c r="N2" i="2"/>
  <c r="I2" i="2"/>
  <c r="K2" i="2" s="1"/>
  <c r="L2" i="2" s="1"/>
  <c r="I3" i="2"/>
  <c r="K3" i="2" s="1"/>
  <c r="I4" i="2"/>
  <c r="K4" i="2" s="1"/>
  <c r="I5" i="2"/>
  <c r="K5" i="2" s="1"/>
  <c r="I6" i="2"/>
  <c r="K6" i="2" s="1"/>
  <c r="I7" i="2"/>
  <c r="K7" i="2" s="1"/>
  <c r="I8" i="2"/>
  <c r="K8" i="2" s="1"/>
  <c r="I9" i="2"/>
  <c r="K9" i="2" s="1"/>
  <c r="I10" i="2"/>
  <c r="K10" i="2" s="1"/>
  <c r="I11" i="2"/>
  <c r="K11" i="2" s="1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<sst xmlns="http://schemas.openxmlformats.org/spreadsheetml/2006/main" count="187" uniqueCount="118">
  <si>
    <t>Customer_ID</t>
  </si>
  <si>
    <t>Customer_Name</t>
  </si>
  <si>
    <t>Email</t>
  </si>
  <si>
    <t>Phone</t>
  </si>
  <si>
    <t>Product_Code</t>
  </si>
  <si>
    <t>City</t>
  </si>
  <si>
    <t>C001</t>
  </si>
  <si>
    <t>Rahul Sharma</t>
  </si>
  <si>
    <t>rahul.sharma@gmail.com</t>
  </si>
  <si>
    <t>98765-43210</t>
  </si>
  <si>
    <t>EL-LAP-001</t>
  </si>
  <si>
    <t>Lucknow</t>
  </si>
  <si>
    <t>C002</t>
  </si>
  <si>
    <t>PRIYA SINGH</t>
  </si>
  <si>
    <t>priya.singh@yahoo.com</t>
  </si>
  <si>
    <t>FN-CHR-002</t>
  </si>
  <si>
    <t xml:space="preserve">Delhi </t>
  </si>
  <si>
    <t>C003</t>
  </si>
  <si>
    <t>Arman Khan</t>
  </si>
  <si>
    <t>armankhan@gmail.com</t>
  </si>
  <si>
    <t>98765 43212</t>
  </si>
  <si>
    <t>CL-SHR-003</t>
  </si>
  <si>
    <t>MUMBAI</t>
  </si>
  <si>
    <t>C004</t>
  </si>
  <si>
    <t>zoya ali</t>
  </si>
  <si>
    <t>zoya.ali@outlook.com</t>
  </si>
  <si>
    <t>98765-43213</t>
  </si>
  <si>
    <t>EL-MON-004</t>
  </si>
  <si>
    <t>lucknow</t>
  </si>
  <si>
    <t>C005</t>
  </si>
  <si>
    <t>Sameer Verma</t>
  </si>
  <si>
    <t>sameer.verma@gmail.com</t>
  </si>
  <si>
    <t>FN-TBL-005</t>
  </si>
  <si>
    <t>Delhi</t>
  </si>
  <si>
    <t>C006</t>
  </si>
  <si>
    <t>AYESHA KHAN</t>
  </si>
  <si>
    <t>ayesha.khan@yahoo.com</t>
  </si>
  <si>
    <t>98765 43215</t>
  </si>
  <si>
    <t>CL-JKT-006</t>
  </si>
  <si>
    <t xml:space="preserve">mumbai </t>
  </si>
  <si>
    <t>C007</t>
  </si>
  <si>
    <t>Hamza Ahmed</t>
  </si>
  <si>
    <t>hamza.ahmed@gmail.com</t>
  </si>
  <si>
    <t>98765-43216</t>
  </si>
  <si>
    <t>EL-MOU-007</t>
  </si>
  <si>
    <t>LUCKNOW</t>
  </si>
  <si>
    <t>C008</t>
  </si>
  <si>
    <t>FATIMA ALI</t>
  </si>
  <si>
    <t>fatima.ali@outlook.com</t>
  </si>
  <si>
    <t>FN-CHR-008</t>
  </si>
  <si>
    <t>C009</t>
  </si>
  <si>
    <t>Ali Raza</t>
  </si>
  <si>
    <t>ali.raza@gmail.com</t>
  </si>
  <si>
    <t>98765 43218</t>
  </si>
  <si>
    <t>CL-SHR-009</t>
  </si>
  <si>
    <t>Mumbai</t>
  </si>
  <si>
    <t>C010</t>
  </si>
  <si>
    <t>Sara Khan</t>
  </si>
  <si>
    <t>sara.khan@yahoo.com</t>
  </si>
  <si>
    <t>98765-43219</t>
  </si>
  <si>
    <t>EL-LAP-010</t>
  </si>
  <si>
    <t>Clean Name</t>
  </si>
  <si>
    <t>Clean City</t>
  </si>
  <si>
    <t>Clean Emal</t>
  </si>
  <si>
    <t>Email_Username</t>
  </si>
  <si>
    <t>Email Provider</t>
  </si>
  <si>
    <t>rahul.sharma</t>
  </si>
  <si>
    <t>priya.singh</t>
  </si>
  <si>
    <t>armankhan</t>
  </si>
  <si>
    <t>zoya.ali</t>
  </si>
  <si>
    <t>sameer.verma</t>
  </si>
  <si>
    <t>ayesha.khan</t>
  </si>
  <si>
    <t>hamza.ahmed</t>
  </si>
  <si>
    <t>fatima.ali</t>
  </si>
  <si>
    <t>ali.raza</t>
  </si>
  <si>
    <t>sara.khan</t>
  </si>
  <si>
    <t>Domain Name</t>
  </si>
  <si>
    <t>Clean Phone</t>
  </si>
  <si>
    <t>product code</t>
  </si>
  <si>
    <t>Product name part</t>
  </si>
  <si>
    <t>product last number</t>
  </si>
  <si>
    <t>Customer Key</t>
  </si>
  <si>
    <t>s</t>
  </si>
  <si>
    <t>Name + Num</t>
  </si>
  <si>
    <t>Gmail + Lucknow</t>
  </si>
  <si>
    <t>WEEK 02 — DAY 02</t>
  </si>
  <si>
    <t>DATA CLEANING &amp; TEXT TRANSFORMATION</t>
  </si>
  <si>
    <t>FIND</t>
  </si>
  <si>
    <t>Finds the position of text/character.</t>
  </si>
  <si>
    <t>SEARCH</t>
  </si>
  <si>
    <t>Finds text position and is case-insensitive.</t>
  </si>
  <si>
    <t>SUBSTITUTE</t>
  </si>
  <si>
    <t>Replaces specific text.</t>
  </si>
  <si>
    <t>REPLACE</t>
  </si>
  <si>
    <t>Replaces characters based on position.</t>
  </si>
  <si>
    <t>TEXTBEFORE</t>
  </si>
  <si>
    <t>Extracts text before a delimiter.</t>
  </si>
  <si>
    <t>TEXTAFTER</t>
  </si>
  <si>
    <t>Extracts text after a delimiter.</t>
  </si>
  <si>
    <t>TEXTSPLIT</t>
  </si>
  <si>
    <t>Splits text into separate parts.</t>
  </si>
  <si>
    <t>IMPORTANT COMBINATION</t>
  </si>
  <si>
    <t>TEXTAFTER + IFS</t>
  </si>
  <si>
    <t>Used to identify email providers.</t>
  </si>
  <si>
    <t>SUBSTITUTE + SUBSTITUTE</t>
  </si>
  <si>
    <t>Used to clean phone numbers with multiple unwanted characters.</t>
  </si>
  <si>
    <t>&amp; OPERATOR</t>
  </si>
  <si>
    <t>Used to combine text and values.</t>
  </si>
  <si>
    <t>Example:</t>
  </si>
  <si>
    <t>KEY LEARNING</t>
  </si>
  <si>
    <t>Raw Text</t>
  </si>
  <si>
    <t>↓</t>
  </si>
  <si>
    <t>Find / Extract</t>
  </si>
  <si>
    <t>Clean</t>
  </si>
  <si>
    <t>Standardize</t>
  </si>
  <si>
    <t>Classify</t>
  </si>
  <si>
    <t>Usable Data</t>
  </si>
  <si>
    <t>Status: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</si>
</sst>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A5" workbookViewId="0">
      <selection activeCell="D2" sqref="D2:D12"/>
    </sheetView>
  </sheetViews>
  <sheetFormatPr defaultRowHeight="15"/>
  <sheetData>
    <row r="1" spans="1:6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8.2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8.25">
      <c r="A3" s="1" t="s">
        <v>12</v>
      </c>
      <c r="B3" s="2" t="s">
        <v>13</v>
      </c>
      <c r="C3" s="2" t="s">
        <v>14</v>
      </c>
      <c r="D3" s="2">
        <v>9876543211</v>
      </c>
      <c r="E3" s="2" t="s">
        <v>15</v>
      </c>
      <c r="F3" s="2" t="s">
        <v>16</v>
      </c>
    </row>
    <row r="4" spans="1:6" ht="38.25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38.25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38.25">
      <c r="A6" s="1" t="s">
        <v>29</v>
      </c>
      <c r="B6" s="2" t="s">
        <v>30</v>
      </c>
      <c r="C6" s="2" t="s">
        <v>31</v>
      </c>
      <c r="D6" s="2">
        <v>9876543214</v>
      </c>
      <c r="E6" s="2" t="s">
        <v>32</v>
      </c>
      <c r="F6" s="2" t="s">
        <v>33</v>
      </c>
    </row>
    <row r="7" spans="1:6" ht="38.25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38.25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ht="38.25">
      <c r="A9" s="1" t="s">
        <v>46</v>
      </c>
      <c r="B9" s="2" t="s">
        <v>47</v>
      </c>
      <c r="C9" s="2" t="s">
        <v>48</v>
      </c>
      <c r="D9" s="2">
        <v>9876543217</v>
      </c>
      <c r="E9" s="2" t="s">
        <v>49</v>
      </c>
      <c r="F9" s="2" t="s">
        <v>33</v>
      </c>
    </row>
    <row r="10" spans="1:6" ht="38.25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 ht="38.25">
      <c r="A11" s="1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9BB4-2030-4CBB-ADFA-323F491757A3}">
  <dimension ref="A1:W15"/>
  <sheetViews>
    <sheetView zoomScale="130" zoomScaleNormal="130" workbookViewId="0">
      <selection activeCell="AB10" sqref="AB10"/>
    </sheetView>
  </sheetViews>
  <sheetFormatPr defaultRowHeight="15"/>
  <cols>
    <col min="1" max="1" width="12.85546875" style="6" customWidth="1"/>
    <col min="2" max="2" width="16" style="6" bestFit="1" customWidth="1"/>
    <col min="3" max="3" width="23.5703125" style="6" bestFit="1" customWidth="1"/>
    <col min="4" max="4" width="12.42578125" style="6" bestFit="1" customWidth="1"/>
    <col min="5" max="5" width="13.5703125" style="6" bestFit="1" customWidth="1"/>
    <col min="6" max="6" width="10.42578125" style="6" bestFit="1" customWidth="1"/>
    <col min="7" max="7" width="14.140625" style="6" bestFit="1" customWidth="1"/>
    <col min="8" max="8" width="9.140625" style="6"/>
    <col min="9" max="9" width="25.140625" style="6" bestFit="1" customWidth="1"/>
    <col min="10" max="10" width="16.28515625" style="6" bestFit="1" customWidth="1"/>
    <col min="11" max="11" width="14.28515625" style="6" bestFit="1" customWidth="1"/>
    <col min="12" max="12" width="14.140625" style="6" bestFit="1" customWidth="1"/>
    <col min="13" max="13" width="12.42578125" style="6" bestFit="1" customWidth="1"/>
    <col min="14" max="14" width="13.140625" style="6" bestFit="1" customWidth="1"/>
    <col min="15" max="15" width="18.140625" style="6" bestFit="1" customWidth="1"/>
    <col min="16" max="16" width="19.7109375" style="6" bestFit="1" customWidth="1"/>
    <col min="17" max="17" width="41.140625" style="6" bestFit="1" customWidth="1"/>
    <col min="18" max="18" width="22.140625" style="6" bestFit="1" customWidth="1"/>
    <col min="19" max="19" width="16" style="6" bestFit="1" customWidth="1"/>
    <col min="20" max="16384" width="9.140625" style="6"/>
  </cols>
  <sheetData>
    <row r="1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76</v>
      </c>
      <c r="L1" s="9" t="s">
        <v>65</v>
      </c>
      <c r="M1" s="9" t="s">
        <v>77</v>
      </c>
      <c r="N1" s="9" t="s">
        <v>78</v>
      </c>
      <c r="O1" s="9" t="s">
        <v>79</v>
      </c>
      <c r="P1" s="9" t="s">
        <v>80</v>
      </c>
      <c r="Q1" s="9" t="s">
        <v>81</v>
      </c>
      <c r="R1" s="9" t="s">
        <v>83</v>
      </c>
      <c r="S1" s="12" t="s">
        <v>84</v>
      </c>
      <c r="T1" s="14"/>
      <c r="U1" s="14"/>
      <c r="V1" s="14"/>
      <c r="W1" s="14"/>
    </row>
    <row r="2" spans="1:23">
      <c r="A2" s="7" t="s">
        <v>6</v>
      </c>
      <c r="B2" s="8" t="s">
        <v>7</v>
      </c>
      <c r="C2" s="8" t="s">
        <v>8</v>
      </c>
      <c r="D2" s="4" t="s">
        <v>9</v>
      </c>
      <c r="E2" s="8" t="s">
        <v>10</v>
      </c>
      <c r="F2" s="8" t="s">
        <v>11</v>
      </c>
      <c r="G2" s="10" t="str">
        <f>PROPER(TRIM(B2))</f>
        <v>Rahul Sharma</v>
      </c>
      <c r="H2" s="10" t="str">
        <f>PROPER(TRIM(F2))</f>
        <v>Lucknow</v>
      </c>
      <c r="I2" s="10" t="str">
        <f>TRIM(C2)</f>
        <v>rahul.sharma@gmail.com</v>
      </c>
      <c r="J2" s="10" t="s">
        <v>66</v>
      </c>
      <c r="K2" s="11" t="str">
        <f>REPLACE(I2,1,FIND("@",I2,1)," ")</f>
        <v xml:space="preserve"> gmail.com</v>
      </c>
      <c r="L2" s="10" t="str">
        <f>LEFT(K2,FIND(".",K2,1))</f>
        <v xml:space="preserve"> gmail.</v>
      </c>
      <c r="M2" s="10" t="str">
        <f>SUBSTITUTE(SUBSTITUTE(D2,"-","")," ","")</f>
        <v>9876543210</v>
      </c>
      <c r="N2" s="10" t="str">
        <f>RIGHT(E2,3)</f>
        <v>001</v>
      </c>
      <c r="O2" s="10" t="str">
        <f>MID(E2,4,3)</f>
        <v>LAP</v>
      </c>
      <c r="P2" s="10" t="str">
        <f>RIGHT(E2,3)</f>
        <v>001</v>
      </c>
      <c r="Q2" s="10" t="str">
        <f t="shared" ref="Q2:Q11" si="0">_xlfn.TEXTJOIN(" ",TRUE,G2,"&lt;" &amp;I2&amp;"&gt;")</f>
        <v>Rahul Sharma &lt;rahul.sharma@gmail.com&gt;</v>
      </c>
      <c r="R2" s="10" t="str">
        <f>G2&amp;"_"&amp;H2</f>
        <v>Rahul Sharma_Lucknow</v>
      </c>
      <c r="S2" s="13" t="str">
        <f t="shared" ref="S2:S11" si="1">IF(AND(TRIM(K2)="gmail.com", TRIM(H2)="Lucknow"), K2, "Byy")</f>
        <v xml:space="preserve"> gmail.com</v>
      </c>
    </row>
    <row r="3" spans="1:23">
      <c r="A3" s="7" t="s">
        <v>12</v>
      </c>
      <c r="B3" s="8" t="s">
        <v>13</v>
      </c>
      <c r="C3" s="8" t="s">
        <v>14</v>
      </c>
      <c r="D3" s="4">
        <v>9876543211</v>
      </c>
      <c r="E3" s="8" t="s">
        <v>15</v>
      </c>
      <c r="F3" s="8" t="s">
        <v>16</v>
      </c>
      <c r="G3" s="10" t="str">
        <f t="shared" ref="G3:G11" si="2">PROPER(TRIM(B3))</f>
        <v>Priya Singh</v>
      </c>
      <c r="H3" s="10" t="str">
        <f t="shared" ref="H3:H11" si="3">PROPER(TRIM(F3))</f>
        <v>Delhi</v>
      </c>
      <c r="I3" s="10" t="str">
        <f t="shared" ref="I3:I11" si="4">TRIM(C3)</f>
        <v>priya.singh@yahoo.com</v>
      </c>
      <c r="J3" s="10" t="s">
        <v>67</v>
      </c>
      <c r="K3" s="11" t="str">
        <f t="shared" ref="K3:K11" si="5">REPLACE(I3,1,FIND("@",I3,1)," ")</f>
        <v xml:space="preserve"> yahoo.com</v>
      </c>
      <c r="L3" s="10" t="str">
        <f t="shared" ref="L3:L11" si="6">LEFT(K3,FIND(".",K3,1))</f>
        <v xml:space="preserve"> yahoo.</v>
      </c>
      <c r="M3" s="10" t="str">
        <f t="shared" ref="M3:M11" si="7">SUBSTITUTE(SUBSTITUTE(D3,"-","")," ","")</f>
        <v>9876543211</v>
      </c>
      <c r="N3" s="10" t="str">
        <f t="shared" ref="N3:N11" si="8">RIGHT(E3,3)</f>
        <v>002</v>
      </c>
      <c r="O3" s="10" t="str">
        <f t="shared" ref="O3:O11" si="9">MID(E3,4,3)</f>
        <v>CHR</v>
      </c>
      <c r="P3" s="10" t="str">
        <f t="shared" ref="P3:P11" si="10">RIGHT(E3,3)</f>
        <v>002</v>
      </c>
      <c r="Q3" s="10" t="str">
        <f t="shared" si="0"/>
        <v>Priya Singh &lt;priya.singh@yahoo.com&gt;</v>
      </c>
      <c r="R3" s="10" t="str">
        <f t="shared" ref="R3:R11" si="11">G3&amp;"_"&amp;H3</f>
        <v>Priya Singh_Delhi</v>
      </c>
      <c r="S3" s="13" t="str">
        <f t="shared" si="1"/>
        <v>Byy</v>
      </c>
    </row>
    <row r="4" spans="1:23">
      <c r="A4" s="7" t="s">
        <v>17</v>
      </c>
      <c r="B4" s="8" t="s">
        <v>18</v>
      </c>
      <c r="C4" s="8" t="s">
        <v>19</v>
      </c>
      <c r="D4" s="4" t="s">
        <v>20</v>
      </c>
      <c r="E4" s="8" t="s">
        <v>21</v>
      </c>
      <c r="F4" s="8" t="s">
        <v>22</v>
      </c>
      <c r="G4" s="10" t="str">
        <f t="shared" si="2"/>
        <v>Arman Khan</v>
      </c>
      <c r="H4" s="10" t="str">
        <f t="shared" si="3"/>
        <v>Mumbai</v>
      </c>
      <c r="I4" s="10" t="str">
        <f t="shared" si="4"/>
        <v>armankhan@gmail.com</v>
      </c>
      <c r="J4" s="10" t="s">
        <v>68</v>
      </c>
      <c r="K4" s="11" t="str">
        <f t="shared" si="5"/>
        <v xml:space="preserve"> gmail.com</v>
      </c>
      <c r="L4" s="10" t="str">
        <f t="shared" si="6"/>
        <v xml:space="preserve"> gmail.</v>
      </c>
      <c r="M4" s="10" t="str">
        <f t="shared" si="7"/>
        <v>9876543212</v>
      </c>
      <c r="N4" s="10" t="str">
        <f t="shared" si="8"/>
        <v>003</v>
      </c>
      <c r="O4" s="10" t="str">
        <f t="shared" si="9"/>
        <v>SHR</v>
      </c>
      <c r="P4" s="10" t="str">
        <f t="shared" si="10"/>
        <v>003</v>
      </c>
      <c r="Q4" s="10" t="str">
        <f t="shared" si="0"/>
        <v>Arman Khan &lt;armankhan@gmail.com&gt;</v>
      </c>
      <c r="R4" s="10" t="str">
        <f t="shared" si="11"/>
        <v>Arman Khan_Mumbai</v>
      </c>
      <c r="S4" s="13" t="str">
        <f t="shared" si="1"/>
        <v>Byy</v>
      </c>
    </row>
    <row r="5" spans="1:23">
      <c r="A5" s="7" t="s">
        <v>23</v>
      </c>
      <c r="B5" s="8" t="s">
        <v>24</v>
      </c>
      <c r="C5" s="8" t="s">
        <v>25</v>
      </c>
      <c r="D5" s="4" t="s">
        <v>26</v>
      </c>
      <c r="E5" s="8" t="s">
        <v>27</v>
      </c>
      <c r="F5" s="8" t="s">
        <v>28</v>
      </c>
      <c r="G5" s="10" t="str">
        <f t="shared" si="2"/>
        <v>Zoya Ali</v>
      </c>
      <c r="H5" s="10" t="str">
        <f t="shared" si="3"/>
        <v>Lucknow</v>
      </c>
      <c r="I5" s="10" t="str">
        <f t="shared" si="4"/>
        <v>zoya.ali@outlook.com</v>
      </c>
      <c r="J5" s="10" t="s">
        <v>69</v>
      </c>
      <c r="K5" s="11" t="str">
        <f t="shared" si="5"/>
        <v xml:space="preserve"> outlook.com</v>
      </c>
      <c r="L5" s="10" t="str">
        <f t="shared" si="6"/>
        <v xml:space="preserve"> outlook.</v>
      </c>
      <c r="M5" s="10" t="str">
        <f t="shared" si="7"/>
        <v>9876543213</v>
      </c>
      <c r="N5" s="10" t="str">
        <f t="shared" si="8"/>
        <v>004</v>
      </c>
      <c r="O5" s="10" t="str">
        <f t="shared" si="9"/>
        <v>MON</v>
      </c>
      <c r="P5" s="10" t="str">
        <f t="shared" si="10"/>
        <v>004</v>
      </c>
      <c r="Q5" s="10" t="str">
        <f t="shared" si="0"/>
        <v>Zoya Ali &lt;zoya.ali@outlook.com&gt;</v>
      </c>
      <c r="R5" s="10" t="str">
        <f t="shared" si="11"/>
        <v>Zoya Ali_Lucknow</v>
      </c>
      <c r="S5" s="13" t="str">
        <f t="shared" si="1"/>
        <v>Byy</v>
      </c>
    </row>
    <row r="6" spans="1:23">
      <c r="A6" s="7" t="s">
        <v>29</v>
      </c>
      <c r="B6" s="8" t="s">
        <v>30</v>
      </c>
      <c r="C6" s="8" t="s">
        <v>31</v>
      </c>
      <c r="D6" s="4">
        <v>9876543214</v>
      </c>
      <c r="E6" s="8" t="s">
        <v>32</v>
      </c>
      <c r="F6" s="8" t="s">
        <v>33</v>
      </c>
      <c r="G6" s="10" t="str">
        <f t="shared" si="2"/>
        <v>Sameer Verma</v>
      </c>
      <c r="H6" s="10" t="str">
        <f t="shared" si="3"/>
        <v>Delhi</v>
      </c>
      <c r="I6" s="10" t="str">
        <f t="shared" si="4"/>
        <v>sameer.verma@gmail.com</v>
      </c>
      <c r="J6" s="10" t="s">
        <v>70</v>
      </c>
      <c r="K6" s="11" t="str">
        <f t="shared" si="5"/>
        <v xml:space="preserve"> gmail.com</v>
      </c>
      <c r="L6" s="10" t="str">
        <f t="shared" si="6"/>
        <v xml:space="preserve"> gmail.</v>
      </c>
      <c r="M6" s="10" t="str">
        <f t="shared" si="7"/>
        <v>9876543214</v>
      </c>
      <c r="N6" s="10" t="str">
        <f t="shared" si="8"/>
        <v>005</v>
      </c>
      <c r="O6" s="10" t="str">
        <f t="shared" si="9"/>
        <v>TBL</v>
      </c>
      <c r="P6" s="10" t="str">
        <f t="shared" si="10"/>
        <v>005</v>
      </c>
      <c r="Q6" s="10" t="str">
        <f t="shared" si="0"/>
        <v>Sameer Verma &lt;sameer.verma@gmail.com&gt;</v>
      </c>
      <c r="R6" s="10" t="str">
        <f t="shared" si="11"/>
        <v>Sameer Verma_Delhi</v>
      </c>
      <c r="S6" s="13" t="str">
        <f t="shared" si="1"/>
        <v>Byy</v>
      </c>
    </row>
    <row r="7" spans="1:23">
      <c r="A7" s="7" t="s">
        <v>34</v>
      </c>
      <c r="B7" s="8" t="s">
        <v>35</v>
      </c>
      <c r="C7" s="8" t="s">
        <v>36</v>
      </c>
      <c r="D7" s="4" t="s">
        <v>37</v>
      </c>
      <c r="E7" s="8" t="s">
        <v>38</v>
      </c>
      <c r="F7" s="8" t="s">
        <v>39</v>
      </c>
      <c r="G7" s="10" t="str">
        <f t="shared" si="2"/>
        <v>Ayesha Khan</v>
      </c>
      <c r="H7" s="10" t="str">
        <f t="shared" si="3"/>
        <v>Mumbai</v>
      </c>
      <c r="I7" s="10" t="str">
        <f t="shared" si="4"/>
        <v>ayesha.khan@yahoo.com</v>
      </c>
      <c r="J7" s="10" t="s">
        <v>71</v>
      </c>
      <c r="K7" s="11" t="str">
        <f t="shared" si="5"/>
        <v xml:space="preserve"> yahoo.com</v>
      </c>
      <c r="L7" s="10" t="str">
        <f t="shared" si="6"/>
        <v xml:space="preserve"> yahoo.</v>
      </c>
      <c r="M7" s="10" t="str">
        <f t="shared" si="7"/>
        <v>9876543215</v>
      </c>
      <c r="N7" s="10" t="str">
        <f t="shared" si="8"/>
        <v>006</v>
      </c>
      <c r="O7" s="10" t="str">
        <f t="shared" si="9"/>
        <v>JKT</v>
      </c>
      <c r="P7" s="10" t="str">
        <f t="shared" si="10"/>
        <v>006</v>
      </c>
      <c r="Q7" s="10" t="str">
        <f t="shared" si="0"/>
        <v>Ayesha Khan &lt;ayesha.khan@yahoo.com&gt;</v>
      </c>
      <c r="R7" s="10" t="str">
        <f t="shared" si="11"/>
        <v>Ayesha Khan_Mumbai</v>
      </c>
      <c r="S7" s="13" t="str">
        <f t="shared" si="1"/>
        <v>Byy</v>
      </c>
    </row>
    <row r="8" spans="1:23" ht="15.75" customHeight="1">
      <c r="A8" s="7" t="s">
        <v>40</v>
      </c>
      <c r="B8" s="8" t="s">
        <v>41</v>
      </c>
      <c r="C8" s="8" t="s">
        <v>42</v>
      </c>
      <c r="D8" s="4" t="s">
        <v>43</v>
      </c>
      <c r="E8" s="8" t="s">
        <v>44</v>
      </c>
      <c r="F8" s="8" t="s">
        <v>45</v>
      </c>
      <c r="G8" s="10" t="str">
        <f t="shared" si="2"/>
        <v>Hamza Ahmed</v>
      </c>
      <c r="H8" s="10" t="str">
        <f t="shared" si="3"/>
        <v>Lucknow</v>
      </c>
      <c r="I8" s="10" t="str">
        <f t="shared" si="4"/>
        <v>hamza.ahmed@gmail.com</v>
      </c>
      <c r="J8" s="10" t="s">
        <v>72</v>
      </c>
      <c r="K8" s="11" t="str">
        <f t="shared" si="5"/>
        <v xml:space="preserve"> gmail.com</v>
      </c>
      <c r="L8" s="10" t="str">
        <f t="shared" si="6"/>
        <v xml:space="preserve"> gmail.</v>
      </c>
      <c r="M8" s="10" t="str">
        <f t="shared" si="7"/>
        <v>9876543216</v>
      </c>
      <c r="N8" s="10" t="str">
        <f t="shared" si="8"/>
        <v>007</v>
      </c>
      <c r="O8" s="10" t="str">
        <f t="shared" si="9"/>
        <v>MOU</v>
      </c>
      <c r="P8" s="10" t="str">
        <f t="shared" si="10"/>
        <v>007</v>
      </c>
      <c r="Q8" s="10" t="str">
        <f t="shared" si="0"/>
        <v>Hamza Ahmed &lt;hamza.ahmed@gmail.com&gt;</v>
      </c>
      <c r="R8" s="10" t="str">
        <f t="shared" si="11"/>
        <v>Hamza Ahmed_Lucknow</v>
      </c>
      <c r="S8" s="13" t="str">
        <f t="shared" si="1"/>
        <v xml:space="preserve"> gmail.com</v>
      </c>
    </row>
    <row r="9" spans="1:23">
      <c r="A9" s="7" t="s">
        <v>46</v>
      </c>
      <c r="B9" s="8" t="s">
        <v>47</v>
      </c>
      <c r="C9" s="8" t="s">
        <v>48</v>
      </c>
      <c r="D9" s="4">
        <v>9876543217</v>
      </c>
      <c r="E9" s="8" t="s">
        <v>49</v>
      </c>
      <c r="F9" s="8" t="s">
        <v>33</v>
      </c>
      <c r="G9" s="10" t="str">
        <f t="shared" si="2"/>
        <v>Fatima Ali</v>
      </c>
      <c r="H9" s="10" t="str">
        <f t="shared" si="3"/>
        <v>Delhi</v>
      </c>
      <c r="I9" s="10" t="str">
        <f t="shared" si="4"/>
        <v>fatima.ali@outlook.com</v>
      </c>
      <c r="J9" s="10" t="s">
        <v>73</v>
      </c>
      <c r="K9" s="11" t="str">
        <f t="shared" si="5"/>
        <v xml:space="preserve"> outlook.com</v>
      </c>
      <c r="L9" s="10" t="str">
        <f t="shared" si="6"/>
        <v xml:space="preserve"> outlook.</v>
      </c>
      <c r="M9" s="10" t="str">
        <f t="shared" si="7"/>
        <v>9876543217</v>
      </c>
      <c r="N9" s="10" t="str">
        <f t="shared" si="8"/>
        <v>008</v>
      </c>
      <c r="O9" s="10" t="str">
        <f t="shared" si="9"/>
        <v>CHR</v>
      </c>
      <c r="P9" s="10" t="str">
        <f t="shared" si="10"/>
        <v>008</v>
      </c>
      <c r="Q9" s="10" t="str">
        <f t="shared" si="0"/>
        <v>Fatima Ali &lt;fatima.ali@outlook.com&gt;</v>
      </c>
      <c r="R9" s="10" t="str">
        <f t="shared" si="11"/>
        <v>Fatima Ali_Delhi</v>
      </c>
      <c r="S9" s="13" t="str">
        <f t="shared" si="1"/>
        <v>Byy</v>
      </c>
    </row>
    <row r="10" spans="1:23">
      <c r="A10" s="7" t="s">
        <v>50</v>
      </c>
      <c r="B10" s="8" t="s">
        <v>51</v>
      </c>
      <c r="C10" s="8" t="s">
        <v>52</v>
      </c>
      <c r="D10" s="4" t="s">
        <v>53</v>
      </c>
      <c r="E10" s="8" t="s">
        <v>54</v>
      </c>
      <c r="F10" s="8" t="s">
        <v>55</v>
      </c>
      <c r="G10" s="10" t="str">
        <f t="shared" si="2"/>
        <v>Ali Raza</v>
      </c>
      <c r="H10" s="10" t="str">
        <f t="shared" si="3"/>
        <v>Mumbai</v>
      </c>
      <c r="I10" s="10" t="str">
        <f t="shared" si="4"/>
        <v>ali.raza@gmail.com</v>
      </c>
      <c r="J10" s="10" t="s">
        <v>74</v>
      </c>
      <c r="K10" s="11" t="str">
        <f t="shared" si="5"/>
        <v xml:space="preserve"> gmail.com</v>
      </c>
      <c r="L10" s="10" t="str">
        <f t="shared" si="6"/>
        <v xml:space="preserve"> gmail.</v>
      </c>
      <c r="M10" s="10" t="str">
        <f t="shared" si="7"/>
        <v>9876543218</v>
      </c>
      <c r="N10" s="10" t="str">
        <f t="shared" si="8"/>
        <v>009</v>
      </c>
      <c r="O10" s="10" t="str">
        <f t="shared" si="9"/>
        <v>SHR</v>
      </c>
      <c r="P10" s="10" t="str">
        <f t="shared" si="10"/>
        <v>009</v>
      </c>
      <c r="Q10" s="10" t="str">
        <f t="shared" si="0"/>
        <v>Ali Raza &lt;ali.raza@gmail.com&gt;</v>
      </c>
      <c r="R10" s="10" t="str">
        <f t="shared" si="11"/>
        <v>Ali Raza_Mumbai</v>
      </c>
      <c r="S10" s="13" t="str">
        <f t="shared" si="1"/>
        <v>Byy</v>
      </c>
    </row>
    <row r="11" spans="1:23">
      <c r="A11" s="7" t="s">
        <v>56</v>
      </c>
      <c r="B11" s="8" t="s">
        <v>57</v>
      </c>
      <c r="C11" s="8" t="s">
        <v>58</v>
      </c>
      <c r="D11" s="4" t="s">
        <v>59</v>
      </c>
      <c r="E11" s="8" t="s">
        <v>60</v>
      </c>
      <c r="F11" s="8" t="s">
        <v>28</v>
      </c>
      <c r="G11" s="10" t="str">
        <f t="shared" si="2"/>
        <v>Sara Khan</v>
      </c>
      <c r="H11" s="10" t="str">
        <f t="shared" si="3"/>
        <v>Lucknow</v>
      </c>
      <c r="I11" s="10" t="str">
        <f t="shared" si="4"/>
        <v>sara.khan@yahoo.com</v>
      </c>
      <c r="J11" s="10" t="s">
        <v>75</v>
      </c>
      <c r="K11" s="11" t="str">
        <f t="shared" si="5"/>
        <v xml:space="preserve"> yahoo.com</v>
      </c>
      <c r="L11" s="10" t="str">
        <f t="shared" si="6"/>
        <v xml:space="preserve"> yahoo.</v>
      </c>
      <c r="M11" s="10" t="str">
        <f t="shared" si="7"/>
        <v>9876543219</v>
      </c>
      <c r="N11" s="10" t="str">
        <f t="shared" si="8"/>
        <v>010</v>
      </c>
      <c r="O11" s="10" t="str">
        <f t="shared" si="9"/>
        <v>LAP</v>
      </c>
      <c r="P11" s="10" t="str">
        <f t="shared" si="10"/>
        <v>010</v>
      </c>
      <c r="Q11" s="10" t="str">
        <f t="shared" si="0"/>
        <v>Sara Khan &lt;sara.khan@yahoo.com&gt;</v>
      </c>
      <c r="R11" s="10" t="str">
        <f t="shared" si="11"/>
        <v>Sara Khan_Lucknow</v>
      </c>
      <c r="S11" s="13" t="str">
        <f t="shared" si="1"/>
        <v>Byy</v>
      </c>
    </row>
    <row r="12" spans="1:23">
      <c r="D12"/>
    </row>
    <row r="15" spans="1:23">
      <c r="P15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9BB9-4D1D-4715-9C68-DD3D081B6837}">
  <dimension ref="A1:A59"/>
  <sheetViews>
    <sheetView tabSelected="1" topLeftCell="A46" workbookViewId="0">
      <selection activeCell="M52" sqref="M52"/>
    </sheetView>
  </sheetViews>
  <sheetFormatPr defaultRowHeight="15"/>
  <sheetData>
    <row r="1" spans="1:1">
      <c r="A1" t="s">
        <v>85</v>
      </c>
    </row>
    <row r="2" spans="1:1">
      <c r="A2" t="s">
        <v>86</v>
      </c>
    </row>
    <row r="4" spans="1:1">
      <c r="A4" t="s">
        <v>87</v>
      </c>
    </row>
    <row r="5" spans="1:1">
      <c r="A5" t="s">
        <v>88</v>
      </c>
    </row>
    <row r="6" spans="1:1">
      <c r="A6" t="e">
        <f>FIND("@",A2)</f>
        <v>#VALUE!</v>
      </c>
    </row>
    <row r="8" spans="1:1">
      <c r="A8" t="s">
        <v>89</v>
      </c>
    </row>
    <row r="9" spans="1:1">
      <c r="A9" t="s">
        <v>90</v>
      </c>
    </row>
    <row r="10" spans="1:1">
      <c r="A10" t="e">
        <f>SEARCH("gmail",A2)</f>
        <v>#VALUE!</v>
      </c>
    </row>
    <row r="12" spans="1:1">
      <c r="A12" t="s">
        <v>91</v>
      </c>
    </row>
    <row r="13" spans="1:1">
      <c r="A13" t="s">
        <v>92</v>
      </c>
    </row>
    <row r="14" spans="1:1">
      <c r="A14" t="str">
        <f>SUBSTITUTE(A2,"-","")</f>
        <v>DATA CLEANING &amp; TEXT TRANSFORMATION</v>
      </c>
    </row>
    <row r="16" spans="1:1">
      <c r="A16" t="s">
        <v>93</v>
      </c>
    </row>
    <row r="17" spans="1:1">
      <c r="A17" t="s">
        <v>94</v>
      </c>
    </row>
    <row r="18" spans="1:1">
      <c r="A18" t="str">
        <f>REPLACE(A2,1,3,"XXX")</f>
        <v>XXXA CLEANING &amp; TEXT TRANSFORMATION</v>
      </c>
    </row>
    <row r="20" spans="1:1">
      <c r="A20" t="s">
        <v>95</v>
      </c>
    </row>
    <row r="21" spans="1:1">
      <c r="A21" t="s">
        <v>96</v>
      </c>
    </row>
    <row r="22" spans="1:1">
      <c r="A22" t="e" cm="1">
        <f t="array" aca="1" ref="A22" ca="1">TEXTBEFORE(A2,"@")</f>
        <v>#NAME?</v>
      </c>
    </row>
    <row r="24" spans="1:1">
      <c r="A24" t="s">
        <v>97</v>
      </c>
    </row>
    <row r="25" spans="1:1">
      <c r="A25" t="s">
        <v>98</v>
      </c>
    </row>
    <row r="26" spans="1:1">
      <c r="A26" t="e" cm="1">
        <f t="array" aca="1" ref="A26" ca="1">TEXTAFTER(A2,"@")</f>
        <v>#NAME?</v>
      </c>
    </row>
    <row r="28" spans="1:1">
      <c r="A28" t="s">
        <v>99</v>
      </c>
    </row>
    <row r="29" spans="1:1">
      <c r="A29" t="s">
        <v>100</v>
      </c>
    </row>
    <row r="30" spans="1:1">
      <c r="A30" t="e" cm="1">
        <f t="array" aca="1" ref="A30" ca="1">TEXTSPLIT(A2,"-")</f>
        <v>#NAME?</v>
      </c>
    </row>
    <row r="32" spans="1:1">
      <c r="A32" t="s">
        <v>101</v>
      </c>
    </row>
    <row r="33" spans="1:1">
      <c r="A33" t="s">
        <v>102</v>
      </c>
    </row>
    <row r="34" spans="1:1">
      <c r="A34" t="s">
        <v>103</v>
      </c>
    </row>
    <row r="36" spans="1:1">
      <c r="A36" t="s">
        <v>104</v>
      </c>
    </row>
    <row r="37" spans="1:1">
      <c r="A37" t="s">
        <v>105</v>
      </c>
    </row>
    <row r="39" spans="1:1">
      <c r="A39" t="s">
        <v>106</v>
      </c>
    </row>
    <row r="40" spans="1:1">
      <c r="A40" t="s">
        <v>107</v>
      </c>
    </row>
    <row r="42" spans="1:1">
      <c r="A42" t="s">
        <v>108</v>
      </c>
    </row>
    <row r="43" spans="1:1">
      <c r="A43" t="e" cm="1">
        <f t="array" ref="A43">Clean_Name&amp;" &lt;"&amp;Clean_Email&amp;"&gt;"</f>
        <v>#NAME?</v>
      </c>
    </row>
    <row r="45" spans="1:1">
      <c r="A45" t="s">
        <v>109</v>
      </c>
    </row>
    <row r="47" spans="1:1">
      <c r="A47" t="s">
        <v>110</v>
      </c>
    </row>
    <row r="48" spans="1:1">
      <c r="A48" t="s">
        <v>111</v>
      </c>
    </row>
    <row r="49" spans="1:1">
      <c r="A49" t="s">
        <v>112</v>
      </c>
    </row>
    <row r="50" spans="1:1">
      <c r="A50" t="s">
        <v>111</v>
      </c>
    </row>
    <row r="51" spans="1:1">
      <c r="A51" t="s">
        <v>113</v>
      </c>
    </row>
    <row r="52" spans="1:1">
      <c r="A52" t="s">
        <v>111</v>
      </c>
    </row>
    <row r="53" spans="1:1">
      <c r="A53" t="s">
        <v>114</v>
      </c>
    </row>
    <row r="54" spans="1:1">
      <c r="A54" t="s">
        <v>111</v>
      </c>
    </row>
    <row r="55" spans="1:1">
      <c r="A55" t="s">
        <v>115</v>
      </c>
    </row>
    <row r="56" spans="1:1">
      <c r="A56" t="s">
        <v>111</v>
      </c>
    </row>
    <row r="57" spans="1:1">
      <c r="A57" t="s">
        <v>116</v>
      </c>
    </row>
    <row r="59" spans="1:1">
      <c r="A5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2026-09-11T10:50:17Z</dcterms:modified>
</cp:coreProperties>
</file>