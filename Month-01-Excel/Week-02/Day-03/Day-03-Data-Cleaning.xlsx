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Day-03\"/>
    </mc:Choice>
  </mc:AlternateContent>
  <xr:revisionPtr revIDLastSave="0" documentId="13_ncr:1_{6E49ACD5-7DC7-4735-B2BD-7C6893C784C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aw Data" sheetId="1" r:id="rId1"/>
    <sheet name="Cleaned Data" sheetId="3" r:id="rId2"/>
    <sheet name="Data Entry" sheetId="4" r:id="rId3"/>
    <sheet name="Not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2" i="3"/>
  <c r="J3" i="3" a="1"/>
  <c r="J4" i="3" a="1"/>
  <c r="J5" i="3" a="1"/>
  <c r="J6" i="3" a="1"/>
  <c r="J7" i="3" a="1"/>
  <c r="J8" i="3" a="1"/>
  <c r="J9" i="3" a="1"/>
  <c r="J10" i="3" a="1"/>
  <c r="J11" i="3" a="1"/>
  <c r="J12" i="3" a="1"/>
  <c r="J13" i="3" a="1"/>
  <c r="J2" i="3" a="1"/>
  <c r="I3" i="3"/>
  <c r="I4" i="3"/>
  <c r="I5" i="3"/>
  <c r="I6" i="3"/>
  <c r="I7" i="3"/>
  <c r="I8" i="3"/>
  <c r="I9" i="3"/>
  <c r="I10" i="3"/>
  <c r="I11" i="3"/>
  <c r="I12" i="3"/>
  <c r="I13" i="3"/>
  <c r="I2" i="3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A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<sst xmlns="http://schemas.openxmlformats.org/spreadsheetml/2006/main" count="194" uniqueCount="87">
  <si>
    <t>Customer_ID</t>
  </si>
  <si>
    <t>Name</t>
  </si>
  <si>
    <t>City</t>
  </si>
  <si>
    <t>Age</t>
  </si>
  <si>
    <t>Email</t>
  </si>
  <si>
    <t>Status</t>
  </si>
  <si>
    <t>C001</t>
  </si>
  <si>
    <t>Rahul Sharma</t>
  </si>
  <si>
    <t>Lucknow</t>
  </si>
  <si>
    <t>rahul@gmail.com</t>
  </si>
  <si>
    <t>Active</t>
  </si>
  <si>
    <t>C002</t>
  </si>
  <si>
    <t>Priya Singh</t>
  </si>
  <si>
    <t>Delhi</t>
  </si>
  <si>
    <t>priya@gmail.com</t>
  </si>
  <si>
    <t>C003</t>
  </si>
  <si>
    <t>C004</t>
  </si>
  <si>
    <t>Arman Khan</t>
  </si>
  <si>
    <t>Mumbai</t>
  </si>
  <si>
    <t>arman@gmail.com</t>
  </si>
  <si>
    <t>C005</t>
  </si>
  <si>
    <t>Zoya Ali</t>
  </si>
  <si>
    <t>zoya@gmail.com</t>
  </si>
  <si>
    <t>Inactive</t>
  </si>
  <si>
    <t>C006</t>
  </si>
  <si>
    <t>C007</t>
  </si>
  <si>
    <t>Hamza Ahmed</t>
  </si>
  <si>
    <t>hamza@gmail.com</t>
  </si>
  <si>
    <t>C008</t>
  </si>
  <si>
    <t>Sara Khan</t>
  </si>
  <si>
    <t>sara@gmail.com</t>
  </si>
  <si>
    <t>C009</t>
  </si>
  <si>
    <t>C010</t>
  </si>
  <si>
    <t>Fatima Ali</t>
  </si>
  <si>
    <t>fatima@gmail.com</t>
  </si>
  <si>
    <t>C011</t>
  </si>
  <si>
    <t>Ali Raza</t>
  </si>
  <si>
    <t>ali@gmail.com</t>
  </si>
  <si>
    <t>C012</t>
  </si>
  <si>
    <t>Duplicate Values</t>
  </si>
  <si>
    <t>Duplicate Flags</t>
  </si>
  <si>
    <t>Customer Status</t>
  </si>
  <si>
    <t>Age Category</t>
  </si>
  <si>
    <t xml:space="preserve">Customer name </t>
  </si>
  <si>
    <t xml:space="preserve">Age </t>
  </si>
  <si>
    <t>Eligible_Customer</t>
  </si>
  <si>
    <t>WEEK 02 — DAY 03</t>
  </si>
  <si>
    <t>DUPLICATES, DATA VALIDATION &amp; BUSINESS RULES</t>
  </si>
  <si>
    <t>DUPLICATE DETECTION</t>
  </si>
  <si>
    <t>COUNTIF / COUNTIFS can be used to identify</t>
  </si>
  <si>
    <t>repeated records.</t>
  </si>
  <si>
    <t>Example:</t>
  </si>
  <si>
    <t>If result &gt; 1 → Duplicate</t>
  </si>
  <si>
    <t>REMOVE DUPLICATES</t>
  </si>
  <si>
    <t>Excel's Remove Duplicates tool can permanently</t>
  </si>
  <si>
    <t>remove repeated records.</t>
  </si>
  <si>
    <t>Important:</t>
  </si>
  <si>
    <t>Identify duplicates first, then decide whether</t>
  </si>
  <si>
    <t>they should be removed.</t>
  </si>
  <si>
    <t>DATA VALIDATION</t>
  </si>
  <si>
    <t>Used to control what users can enter into cells.</t>
  </si>
  <si>
    <t>Example Status dropdown:</t>
  </si>
  <si>
    <t>Example City dropdown:</t>
  </si>
  <si>
    <t>AGE CLASSIFICATION</t>
  </si>
  <si>
    <t>IF / IFS can classify numerical values into groups.</t>
  </si>
  <si>
    <t>Age &lt; 21 → Young</t>
  </si>
  <si>
    <t>21–25 → Adult</t>
  </si>
  <si>
    <t>&gt;25 → Senior</t>
  </si>
  <si>
    <t>BUSINESS RULE</t>
  </si>
  <si>
    <t>Active AND Age &gt;= 21</t>
  </si>
  <si>
    <t>→ Eligible Customer</t>
  </si>
  <si>
    <t>Otherwise</t>
  </si>
  <si>
    <t>→ Not Eligible</t>
  </si>
  <si>
    <t>ANALYST WORKFLOW</t>
  </si>
  <si>
    <t>Raw Data</t>
  </si>
  <si>
    <t>↓</t>
  </si>
  <si>
    <t>Identify Problems</t>
  </si>
  <si>
    <t>Detect Duplicates</t>
  </si>
  <si>
    <t>Validate Data</t>
  </si>
  <si>
    <t>Apply Business Rules</t>
  </si>
  <si>
    <t>Filter / Prepare Clean Dataset</t>
  </si>
  <si>
    <t>KEY LEARNING</t>
  </si>
  <si>
    <t>Duplicate detection and duplicate deletion</t>
  </si>
  <si>
    <t>are two different steps.</t>
  </si>
  <si>
    <t>Data Validation helps prevent incorrect</t>
  </si>
  <si>
    <t>future data entry.</t>
  </si>
  <si>
    <t>Status: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</si>
</sst>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hamza@gmail.com" TargetMode="External"/><Relationship Id="rId12" Type="http://schemas.openxmlformats.org/officeDocument/2006/relationships/hyperlink" Target="mailto:zoy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priya@gmail.com" TargetMode="External"/><Relationship Id="rId11" Type="http://schemas.openxmlformats.org/officeDocument/2006/relationships/hyperlink" Target="mailto:ali@gmail.com" TargetMode="External"/><Relationship Id="rId5" Type="http://schemas.openxmlformats.org/officeDocument/2006/relationships/hyperlink" Target="mailto:zoya@gmail.com" TargetMode="External"/><Relationship Id="rId10" Type="http://schemas.openxmlformats.org/officeDocument/2006/relationships/hyperlink" Target="mailto:fatima@gmail.com" TargetMode="External"/><Relationship Id="rId4" Type="http://schemas.openxmlformats.org/officeDocument/2006/relationships/hyperlink" Target="mailto:arman@gmail.com" TargetMode="External"/><Relationship Id="rId9" Type="http://schemas.openxmlformats.org/officeDocument/2006/relationships/hyperlink" Target="mailto:arm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ra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hamza@gmail.com" TargetMode="External"/><Relationship Id="rId12" Type="http://schemas.openxmlformats.org/officeDocument/2006/relationships/hyperlink" Target="mailto:zoy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priya@gmail.com" TargetMode="External"/><Relationship Id="rId11" Type="http://schemas.openxmlformats.org/officeDocument/2006/relationships/hyperlink" Target="mailto:ali@gmail.com" TargetMode="External"/><Relationship Id="rId5" Type="http://schemas.openxmlformats.org/officeDocument/2006/relationships/hyperlink" Target="mailto:zoya@gmail.com" TargetMode="External"/><Relationship Id="rId10" Type="http://schemas.openxmlformats.org/officeDocument/2006/relationships/hyperlink" Target="mailto:fatima@gmail.com" TargetMode="External"/><Relationship Id="rId4" Type="http://schemas.openxmlformats.org/officeDocument/2006/relationships/hyperlink" Target="mailto:arman@gmail.com" TargetMode="External"/><Relationship Id="rId9" Type="http://schemas.openxmlformats.org/officeDocument/2006/relationships/hyperlink" Target="mailto:ar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C5" sqref="A1:F13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>
        <v>22</v>
      </c>
      <c r="E2" s="3" t="s">
        <v>9</v>
      </c>
      <c r="F2" s="2" t="s">
        <v>10</v>
      </c>
    </row>
    <row r="3" spans="1:6" ht="30" x14ac:dyDescent="0.25">
      <c r="A3" s="2" t="s">
        <v>11</v>
      </c>
      <c r="B3" s="2" t="s">
        <v>12</v>
      </c>
      <c r="C3" s="2" t="s">
        <v>13</v>
      </c>
      <c r="D3" s="2">
        <v>24</v>
      </c>
      <c r="E3" s="3" t="s">
        <v>14</v>
      </c>
      <c r="F3" s="2" t="s">
        <v>10</v>
      </c>
    </row>
    <row r="4" spans="1:6" ht="30" x14ac:dyDescent="0.25">
      <c r="A4" s="2" t="s">
        <v>15</v>
      </c>
      <c r="B4" s="2" t="s">
        <v>7</v>
      </c>
      <c r="C4" s="2" t="s">
        <v>8</v>
      </c>
      <c r="D4" s="2">
        <v>22</v>
      </c>
      <c r="E4" s="3" t="s">
        <v>9</v>
      </c>
      <c r="F4" s="2" t="s">
        <v>10</v>
      </c>
    </row>
    <row r="5" spans="1:6" ht="45" x14ac:dyDescent="0.25">
      <c r="A5" s="2" t="s">
        <v>16</v>
      </c>
      <c r="B5" s="2" t="s">
        <v>17</v>
      </c>
      <c r="C5" s="2" t="s">
        <v>18</v>
      </c>
      <c r="D5" s="2">
        <v>19</v>
      </c>
      <c r="E5" s="3" t="s">
        <v>19</v>
      </c>
      <c r="F5" s="2" t="s">
        <v>10</v>
      </c>
    </row>
    <row r="6" spans="1:6" ht="30" x14ac:dyDescent="0.25">
      <c r="A6" s="2" t="s">
        <v>20</v>
      </c>
      <c r="B6" s="2" t="s">
        <v>21</v>
      </c>
      <c r="C6" s="2" t="s">
        <v>8</v>
      </c>
      <c r="D6" s="2">
        <v>21</v>
      </c>
      <c r="E6" s="3" t="s">
        <v>22</v>
      </c>
      <c r="F6" s="2" t="s">
        <v>23</v>
      </c>
    </row>
    <row r="7" spans="1:6" ht="30" x14ac:dyDescent="0.25">
      <c r="A7" s="2" t="s">
        <v>24</v>
      </c>
      <c r="B7" s="2" t="s">
        <v>12</v>
      </c>
      <c r="C7" s="2" t="s">
        <v>13</v>
      </c>
      <c r="D7" s="2">
        <v>24</v>
      </c>
      <c r="E7" s="3" t="s">
        <v>14</v>
      </c>
      <c r="F7" s="2" t="s">
        <v>10</v>
      </c>
    </row>
    <row r="8" spans="1:6" ht="45" x14ac:dyDescent="0.25">
      <c r="A8" s="2" t="s">
        <v>25</v>
      </c>
      <c r="B8" s="2" t="s">
        <v>26</v>
      </c>
      <c r="C8" s="2" t="s">
        <v>8</v>
      </c>
      <c r="D8" s="2">
        <v>25</v>
      </c>
      <c r="E8" s="3" t="s">
        <v>27</v>
      </c>
      <c r="F8" s="2" t="s">
        <v>10</v>
      </c>
    </row>
    <row r="9" spans="1:6" ht="30" x14ac:dyDescent="0.25">
      <c r="A9" s="2" t="s">
        <v>28</v>
      </c>
      <c r="B9" s="2" t="s">
        <v>29</v>
      </c>
      <c r="C9" s="2" t="s">
        <v>13</v>
      </c>
      <c r="D9" s="2">
        <v>20</v>
      </c>
      <c r="E9" s="3" t="s">
        <v>30</v>
      </c>
      <c r="F9" s="2" t="s">
        <v>10</v>
      </c>
    </row>
    <row r="10" spans="1:6" ht="45" x14ac:dyDescent="0.25">
      <c r="A10" s="2" t="s">
        <v>31</v>
      </c>
      <c r="B10" s="2" t="s">
        <v>17</v>
      </c>
      <c r="C10" s="2" t="s">
        <v>18</v>
      </c>
      <c r="D10" s="2">
        <v>19</v>
      </c>
      <c r="E10" s="3" t="s">
        <v>19</v>
      </c>
      <c r="F10" s="2" t="s">
        <v>10</v>
      </c>
    </row>
    <row r="11" spans="1:6" ht="45" x14ac:dyDescent="0.25">
      <c r="A11" s="2" t="s">
        <v>32</v>
      </c>
      <c r="B11" s="2" t="s">
        <v>33</v>
      </c>
      <c r="C11" s="2" t="s">
        <v>8</v>
      </c>
      <c r="D11" s="2">
        <v>23</v>
      </c>
      <c r="E11" s="3" t="s">
        <v>34</v>
      </c>
      <c r="F11" s="2" t="s">
        <v>10</v>
      </c>
    </row>
    <row r="12" spans="1:6" ht="30" x14ac:dyDescent="0.25">
      <c r="A12" s="2" t="s">
        <v>35</v>
      </c>
      <c r="B12" s="2" t="s">
        <v>36</v>
      </c>
      <c r="C12" s="2" t="s">
        <v>18</v>
      </c>
      <c r="D12" s="2">
        <v>27</v>
      </c>
      <c r="E12" s="3" t="s">
        <v>37</v>
      </c>
      <c r="F12" s="2" t="s">
        <v>23</v>
      </c>
    </row>
    <row r="13" spans="1:6" ht="30" x14ac:dyDescent="0.25">
      <c r="A13" s="2" t="s">
        <v>38</v>
      </c>
      <c r="B13" s="2" t="s">
        <v>21</v>
      </c>
      <c r="C13" s="2" t="s">
        <v>8</v>
      </c>
      <c r="D13" s="2">
        <v>21</v>
      </c>
      <c r="E13" s="3" t="s">
        <v>22</v>
      </c>
      <c r="F13" s="2" t="s">
        <v>23</v>
      </c>
    </row>
  </sheetData>
  <hyperlinks>
    <hyperlink ref="E2" r:id="rId1" display="mailto:rahul@gmail.com" xr:uid="{1BC96201-4936-4EB3-A021-C8CC42EFB3E4}"/>
    <hyperlink ref="E3" r:id="rId2" display="mailto:priya@gmail.com" xr:uid="{6DE6F038-BFB5-45F5-8E2B-6D163C523FBF}"/>
    <hyperlink ref="E4" r:id="rId3" display="mailto:rahul@gmail.com" xr:uid="{DD8E4932-2174-4A9F-B0DB-89CD9FDF1840}"/>
    <hyperlink ref="E5" r:id="rId4" display="mailto:arman@gmail.com" xr:uid="{FCB179D2-46FE-4E11-90FF-F916E2EA7BE0}"/>
    <hyperlink ref="E6" r:id="rId5" display="mailto:zoya@gmail.com" xr:uid="{977952F7-D79F-44DC-9488-CF68098398F6}"/>
    <hyperlink ref="E7" r:id="rId6" display="mailto:priya@gmail.com" xr:uid="{A4573E0B-DE59-41D0-95E6-FDC25BD5B8E6}"/>
    <hyperlink ref="E8" r:id="rId7" display="mailto:hamza@gmail.com" xr:uid="{BCEA863C-0D2E-4F19-90D9-02BD21BAD5EC}"/>
    <hyperlink ref="E9" r:id="rId8" display="mailto:sara@gmail.com" xr:uid="{314872D8-C8D8-4891-AACF-C6A55D4420A7}"/>
    <hyperlink ref="E10" r:id="rId9" display="mailto:arman@gmail.com" xr:uid="{70ED1566-D905-4E2E-B0D7-759D573DA639}"/>
    <hyperlink ref="E11" r:id="rId10" display="mailto:fatima@gmail.com" xr:uid="{68039975-1615-413C-A8B6-1BE9FE9C4EB2}"/>
    <hyperlink ref="E12" r:id="rId11" display="mailto:ali@gmail.com" xr:uid="{2C46EBD0-CA1F-439B-A0A9-FCE834C71278}"/>
    <hyperlink ref="E13" r:id="rId12" display="mailto:zoya@gmail.com" xr:uid="{9B5CD222-C213-414A-974D-727283362A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DE03-CE7F-4E18-897C-9D9D25213710}">
  <dimension ref="A1:K13"/>
  <sheetViews>
    <sheetView zoomScale="120" zoomScaleNormal="120" workbookViewId="0">
      <selection activeCell="H16" sqref="H16"/>
    </sheetView>
  </sheetViews>
  <sheetFormatPr defaultRowHeight="15" x14ac:dyDescent="0.25"/>
  <cols>
    <col min="1" max="1" width="12.7109375" style="4" bestFit="1" customWidth="1"/>
    <col min="2" max="2" width="13.85546875" style="4" bestFit="1" customWidth="1"/>
    <col min="3" max="3" width="9.140625" style="4"/>
    <col min="4" max="4" width="4.5703125" style="4" bestFit="1" customWidth="1"/>
    <col min="5" max="5" width="18" style="4" bestFit="1" customWidth="1"/>
    <col min="6" max="6" width="9.140625" style="4"/>
    <col min="7" max="7" width="16" style="4" bestFit="1" customWidth="1"/>
    <col min="8" max="8" width="14.42578125" style="4" bestFit="1" customWidth="1"/>
    <col min="9" max="9" width="15.5703125" style="4" bestFit="1" customWidth="1"/>
    <col min="10" max="10" width="12.7109375" style="4" bestFit="1" customWidth="1"/>
    <col min="11" max="11" width="17.7109375" style="4" bestFit="1" customWidth="1"/>
    <col min="12" max="16384" width="9.140625" style="4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39</v>
      </c>
      <c r="H1" s="7" t="s">
        <v>40</v>
      </c>
      <c r="I1" s="7" t="s">
        <v>41</v>
      </c>
      <c r="J1" s="7" t="s">
        <v>42</v>
      </c>
      <c r="K1" s="8" t="s">
        <v>45</v>
      </c>
    </row>
    <row r="2" spans="1:11" x14ac:dyDescent="0.25">
      <c r="A2" s="4" t="s">
        <v>6</v>
      </c>
      <c r="B2" s="4" t="s">
        <v>7</v>
      </c>
      <c r="C2" s="4" t="s">
        <v>8</v>
      </c>
      <c r="D2" s="4">
        <v>22</v>
      </c>
      <c r="E2" s="5" t="s">
        <v>9</v>
      </c>
      <c r="F2" s="4" t="s">
        <v>10</v>
      </c>
      <c r="G2" s="4" t="b">
        <f>COUNTIF(B2:B13,B2)&gt;1</f>
        <v>1</v>
      </c>
      <c r="H2" s="4" t="str">
        <f>IF(COUNTIF(B2:B13,B2)&gt;1,"Duplicate","Unique")</f>
        <v>Duplicate</v>
      </c>
      <c r="I2" s="4" t="str">
        <f>IF(OR(LOWER(TRIM(F2))="active", LOWER(TRIM(F2))="act"), "Active", "Inactive")</f>
        <v>Active</v>
      </c>
      <c r="J2" s="4" t="str" cm="1">
        <f t="array" ref="J2">_xlfn.IFS(D2&lt;21,"Young",D2&lt;=25,"Adult",D2&gt;25,"Senior")</f>
        <v>Adult</v>
      </c>
      <c r="K2" s="4" t="str">
        <f>IF(AND(TRIM(F2)="Active",D2&gt;=21),"Yes","No")</f>
        <v>Yes</v>
      </c>
    </row>
    <row r="3" spans="1:11" x14ac:dyDescent="0.25">
      <c r="A3" s="4" t="s">
        <v>11</v>
      </c>
      <c r="B3" s="4" t="s">
        <v>12</v>
      </c>
      <c r="C3" s="4" t="s">
        <v>13</v>
      </c>
      <c r="D3" s="4">
        <v>24</v>
      </c>
      <c r="E3" s="5" t="s">
        <v>14</v>
      </c>
      <c r="F3" s="4" t="s">
        <v>10</v>
      </c>
      <c r="G3" s="4" t="b">
        <f t="shared" ref="G3:G13" si="0">COUNTIF(B3:B14,B3)&gt;1</f>
        <v>1</v>
      </c>
      <c r="H3" s="4" t="str">
        <f t="shared" ref="H3:H13" si="1">IF(COUNTIF(B3:B14,B3)&gt;1,"Duplicate","Unique")</f>
        <v>Duplicate</v>
      </c>
      <c r="I3" s="4" t="str">
        <f t="shared" ref="I3:I13" si="2">IF(OR(LOWER(TRIM(F3))="active", LOWER(TRIM(F3))="act"), "Active", "Inactive")</f>
        <v>Active</v>
      </c>
      <c r="J3" s="4" t="str" cm="1">
        <f t="array" ref="J3">_xlfn.IFS(D3&lt;21,"Young",D3&lt;=25,"Adult",D3&gt;25,"Senior")</f>
        <v>Adult</v>
      </c>
      <c r="K3" s="4" t="str">
        <f t="shared" ref="K3:K13" si="3">IF(AND(TRIM(F3)="Active",D3&gt;=21),"Yes","No")</f>
        <v>Yes</v>
      </c>
    </row>
    <row r="4" spans="1:11" x14ac:dyDescent="0.25">
      <c r="A4" s="4" t="s">
        <v>15</v>
      </c>
      <c r="B4" s="4" t="s">
        <v>7</v>
      </c>
      <c r="C4" s="4" t="s">
        <v>8</v>
      </c>
      <c r="D4" s="4">
        <v>22</v>
      </c>
      <c r="E4" s="5" t="s">
        <v>9</v>
      </c>
      <c r="F4" s="4" t="s">
        <v>10</v>
      </c>
      <c r="G4" s="4" t="b">
        <f t="shared" si="0"/>
        <v>0</v>
      </c>
      <c r="H4" s="4" t="str">
        <f t="shared" si="1"/>
        <v>Unique</v>
      </c>
      <c r="I4" s="4" t="str">
        <f t="shared" si="2"/>
        <v>Active</v>
      </c>
      <c r="J4" s="4" t="str" cm="1">
        <f t="array" ref="J4">_xlfn.IFS(D4&lt;21,"Young",D4&lt;=25,"Adult",D4&gt;25,"Senior")</f>
        <v>Adult</v>
      </c>
      <c r="K4" s="4" t="str">
        <f t="shared" si="3"/>
        <v>Yes</v>
      </c>
    </row>
    <row r="5" spans="1:11" x14ac:dyDescent="0.25">
      <c r="A5" s="4" t="s">
        <v>16</v>
      </c>
      <c r="B5" s="4" t="s">
        <v>17</v>
      </c>
      <c r="C5" s="4" t="s">
        <v>18</v>
      </c>
      <c r="D5" s="4">
        <v>19</v>
      </c>
      <c r="E5" s="5" t="s">
        <v>19</v>
      </c>
      <c r="F5" s="4" t="s">
        <v>10</v>
      </c>
      <c r="G5" s="4" t="b">
        <f t="shared" si="0"/>
        <v>1</v>
      </c>
      <c r="H5" s="4" t="str">
        <f t="shared" si="1"/>
        <v>Duplicate</v>
      </c>
      <c r="I5" s="4" t="str">
        <f t="shared" si="2"/>
        <v>Active</v>
      </c>
      <c r="J5" s="4" t="str" cm="1">
        <f t="array" ref="J5">_xlfn.IFS(D5&lt;21,"Young",D5&lt;=25,"Adult",D5&gt;25,"Senior")</f>
        <v>Young</v>
      </c>
      <c r="K5" s="4" t="str">
        <f t="shared" si="3"/>
        <v>No</v>
      </c>
    </row>
    <row r="6" spans="1:11" x14ac:dyDescent="0.25">
      <c r="A6" s="4" t="s">
        <v>20</v>
      </c>
      <c r="B6" s="4" t="s">
        <v>21</v>
      </c>
      <c r="C6" s="4" t="s">
        <v>8</v>
      </c>
      <c r="D6" s="4">
        <v>21</v>
      </c>
      <c r="E6" s="5" t="s">
        <v>22</v>
      </c>
      <c r="F6" s="4" t="s">
        <v>23</v>
      </c>
      <c r="G6" s="4" t="b">
        <f t="shared" si="0"/>
        <v>1</v>
      </c>
      <c r="H6" s="4" t="str">
        <f t="shared" si="1"/>
        <v>Duplicate</v>
      </c>
      <c r="I6" s="4" t="str">
        <f t="shared" si="2"/>
        <v>Inactive</v>
      </c>
      <c r="J6" s="4" t="str" cm="1">
        <f t="array" ref="J6">_xlfn.IFS(D6&lt;21,"Young",D6&lt;=25,"Adult",D6&gt;25,"Senior")</f>
        <v>Adult</v>
      </c>
      <c r="K6" s="4" t="str">
        <f t="shared" si="3"/>
        <v>No</v>
      </c>
    </row>
    <row r="7" spans="1:11" x14ac:dyDescent="0.25">
      <c r="A7" s="4" t="s">
        <v>24</v>
      </c>
      <c r="B7" s="4" t="s">
        <v>12</v>
      </c>
      <c r="C7" s="4" t="s">
        <v>13</v>
      </c>
      <c r="D7" s="4">
        <v>24</v>
      </c>
      <c r="E7" s="5" t="s">
        <v>14</v>
      </c>
      <c r="F7" s="4" t="s">
        <v>10</v>
      </c>
      <c r="G7" s="4" t="b">
        <f t="shared" si="0"/>
        <v>0</v>
      </c>
      <c r="H7" s="4" t="str">
        <f t="shared" si="1"/>
        <v>Unique</v>
      </c>
      <c r="I7" s="4" t="str">
        <f t="shared" si="2"/>
        <v>Active</v>
      </c>
      <c r="J7" s="4" t="str" cm="1">
        <f t="array" ref="J7">_xlfn.IFS(D7&lt;21,"Young",D7&lt;=25,"Adult",D7&gt;25,"Senior")</f>
        <v>Adult</v>
      </c>
      <c r="K7" s="4" t="str">
        <f t="shared" si="3"/>
        <v>Yes</v>
      </c>
    </row>
    <row r="8" spans="1:11" x14ac:dyDescent="0.25">
      <c r="A8" s="4" t="s">
        <v>25</v>
      </c>
      <c r="B8" s="4" t="s">
        <v>26</v>
      </c>
      <c r="C8" s="4" t="s">
        <v>8</v>
      </c>
      <c r="D8" s="4">
        <v>25</v>
      </c>
      <c r="E8" s="5" t="s">
        <v>27</v>
      </c>
      <c r="F8" s="4" t="s">
        <v>10</v>
      </c>
      <c r="G8" s="4" t="b">
        <f t="shared" si="0"/>
        <v>0</v>
      </c>
      <c r="H8" s="4" t="str">
        <f t="shared" si="1"/>
        <v>Unique</v>
      </c>
      <c r="I8" s="4" t="str">
        <f t="shared" si="2"/>
        <v>Active</v>
      </c>
      <c r="J8" s="4" t="str" cm="1">
        <f t="array" ref="J8">_xlfn.IFS(D8&lt;21,"Young",D8&lt;=25,"Adult",D8&gt;25,"Senior")</f>
        <v>Adult</v>
      </c>
      <c r="K8" s="4" t="str">
        <f t="shared" si="3"/>
        <v>Yes</v>
      </c>
    </row>
    <row r="9" spans="1:11" x14ac:dyDescent="0.25">
      <c r="A9" s="4" t="s">
        <v>28</v>
      </c>
      <c r="B9" s="4" t="s">
        <v>29</v>
      </c>
      <c r="C9" s="4" t="s">
        <v>13</v>
      </c>
      <c r="D9" s="4">
        <v>20</v>
      </c>
      <c r="E9" s="5" t="s">
        <v>30</v>
      </c>
      <c r="F9" s="4" t="s">
        <v>10</v>
      </c>
      <c r="G9" s="4" t="b">
        <f t="shared" si="0"/>
        <v>0</v>
      </c>
      <c r="H9" s="4" t="str">
        <f t="shared" si="1"/>
        <v>Unique</v>
      </c>
      <c r="I9" s="4" t="str">
        <f t="shared" si="2"/>
        <v>Active</v>
      </c>
      <c r="J9" s="4" t="str" cm="1">
        <f t="array" ref="J9">_xlfn.IFS(D9&lt;21,"Young",D9&lt;=25,"Adult",D9&gt;25,"Senior")</f>
        <v>Young</v>
      </c>
      <c r="K9" s="4" t="str">
        <f t="shared" si="3"/>
        <v>No</v>
      </c>
    </row>
    <row r="10" spans="1:11" x14ac:dyDescent="0.25">
      <c r="A10" s="4" t="s">
        <v>31</v>
      </c>
      <c r="B10" s="4" t="s">
        <v>17</v>
      </c>
      <c r="C10" s="4" t="s">
        <v>18</v>
      </c>
      <c r="D10" s="4">
        <v>19</v>
      </c>
      <c r="E10" s="5" t="s">
        <v>19</v>
      </c>
      <c r="F10" s="4" t="s">
        <v>10</v>
      </c>
      <c r="G10" s="4" t="b">
        <f t="shared" si="0"/>
        <v>0</v>
      </c>
      <c r="H10" s="4" t="str">
        <f t="shared" si="1"/>
        <v>Unique</v>
      </c>
      <c r="I10" s="4" t="str">
        <f t="shared" si="2"/>
        <v>Active</v>
      </c>
      <c r="J10" s="4" t="str" cm="1">
        <f t="array" ref="J10">_xlfn.IFS(D10&lt;21,"Young",D10&lt;=25,"Adult",D10&gt;25,"Senior")</f>
        <v>Young</v>
      </c>
      <c r="K10" s="4" t="str">
        <f t="shared" si="3"/>
        <v>No</v>
      </c>
    </row>
    <row r="11" spans="1:11" x14ac:dyDescent="0.25">
      <c r="A11" s="4" t="s">
        <v>32</v>
      </c>
      <c r="B11" s="4" t="s">
        <v>33</v>
      </c>
      <c r="C11" s="4" t="s">
        <v>8</v>
      </c>
      <c r="D11" s="4">
        <v>23</v>
      </c>
      <c r="E11" s="5" t="s">
        <v>34</v>
      </c>
      <c r="F11" s="4" t="s">
        <v>10</v>
      </c>
      <c r="G11" s="4" t="b">
        <f t="shared" si="0"/>
        <v>0</v>
      </c>
      <c r="H11" s="4" t="str">
        <f t="shared" si="1"/>
        <v>Unique</v>
      </c>
      <c r="I11" s="4" t="str">
        <f t="shared" si="2"/>
        <v>Active</v>
      </c>
      <c r="J11" s="4" t="str" cm="1">
        <f t="array" ref="J11">_xlfn.IFS(D11&lt;21,"Young",D11&lt;=25,"Adult",D11&gt;25,"Senior")</f>
        <v>Adult</v>
      </c>
      <c r="K11" s="4" t="str">
        <f t="shared" si="3"/>
        <v>Yes</v>
      </c>
    </row>
    <row r="12" spans="1:11" x14ac:dyDescent="0.25">
      <c r="A12" s="4" t="s">
        <v>35</v>
      </c>
      <c r="B12" s="4" t="s">
        <v>36</v>
      </c>
      <c r="C12" s="4" t="s">
        <v>18</v>
      </c>
      <c r="D12" s="4">
        <v>27</v>
      </c>
      <c r="E12" s="5" t="s">
        <v>37</v>
      </c>
      <c r="F12" s="4" t="s">
        <v>23</v>
      </c>
      <c r="G12" s="4" t="b">
        <f t="shared" si="0"/>
        <v>0</v>
      </c>
      <c r="H12" s="4" t="str">
        <f t="shared" si="1"/>
        <v>Unique</v>
      </c>
      <c r="I12" s="4" t="str">
        <f t="shared" si="2"/>
        <v>Inactive</v>
      </c>
      <c r="J12" s="4" t="str" cm="1">
        <f t="array" ref="J12">_xlfn.IFS(D12&lt;21,"Young",D12&lt;=25,"Adult",D12&gt;25,"Senior")</f>
        <v>Senior</v>
      </c>
      <c r="K12" s="4" t="str">
        <f t="shared" si="3"/>
        <v>No</v>
      </c>
    </row>
    <row r="13" spans="1:11" x14ac:dyDescent="0.25">
      <c r="A13" s="4" t="s">
        <v>38</v>
      </c>
      <c r="B13" s="4" t="s">
        <v>21</v>
      </c>
      <c r="C13" s="4" t="s">
        <v>8</v>
      </c>
      <c r="D13" s="4">
        <v>21</v>
      </c>
      <c r="E13" s="5" t="s">
        <v>22</v>
      </c>
      <c r="F13" s="4" t="s">
        <v>23</v>
      </c>
      <c r="G13" s="4" t="b">
        <f t="shared" si="0"/>
        <v>0</v>
      </c>
      <c r="H13" s="4" t="str">
        <f t="shared" si="1"/>
        <v>Unique</v>
      </c>
      <c r="I13" s="4" t="str">
        <f t="shared" si="2"/>
        <v>Inactive</v>
      </c>
      <c r="J13" s="4" t="str" cm="1">
        <f t="array" ref="J13">_xlfn.IFS(D13&lt;21,"Young",D13&lt;=25,"Adult",D13&gt;25,"Senior")</f>
        <v>Adult</v>
      </c>
      <c r="K13" s="4" t="str">
        <f t="shared" si="3"/>
        <v>No</v>
      </c>
    </row>
  </sheetData>
  <hyperlinks>
    <hyperlink ref="E2" r:id="rId1" display="mailto:rahul@gmail.com" xr:uid="{0CFBC21E-AF65-4506-9614-3F8A024031CD}"/>
    <hyperlink ref="E3" r:id="rId2" display="mailto:priya@gmail.com" xr:uid="{03571900-3F43-49B9-BAF8-A1884E2E6258}"/>
    <hyperlink ref="E4" r:id="rId3" display="mailto:rahul@gmail.com" xr:uid="{458BEBB2-F103-4CCC-87FD-BF237C07DF4C}"/>
    <hyperlink ref="E5" r:id="rId4" display="mailto:arman@gmail.com" xr:uid="{9E50A650-4421-4407-8752-4F410669DA12}"/>
    <hyperlink ref="E6" r:id="rId5" display="mailto:zoya@gmail.com" xr:uid="{09F894D5-102A-4F15-A9DF-40E5123DAC67}"/>
    <hyperlink ref="E7" r:id="rId6" display="mailto:priya@gmail.com" xr:uid="{DD5BD201-3E7A-45A4-8BC1-8F42BC2AD213}"/>
    <hyperlink ref="E8" r:id="rId7" display="mailto:hamza@gmail.com" xr:uid="{D10BD1FA-F54E-4E92-A418-8B4D4F6CFFEE}"/>
    <hyperlink ref="E9" r:id="rId8" display="mailto:sara@gmail.com" xr:uid="{988E7BAE-1CF0-41CD-ADBB-CFA5FC14CF51}"/>
    <hyperlink ref="E10" r:id="rId9" display="mailto:arman@gmail.com" xr:uid="{B5E20BF8-DF89-4B24-AE17-304D86896777}"/>
    <hyperlink ref="E11" r:id="rId10" display="mailto:fatima@gmail.com" xr:uid="{98DD956B-622C-47B5-B72E-77E4116CB64F}"/>
    <hyperlink ref="E12" r:id="rId11" display="mailto:ali@gmail.com" xr:uid="{C719F646-C7D7-44DF-AEC3-97AB54150117}"/>
    <hyperlink ref="E13" r:id="rId12" display="mailto:zoya@gmail.com" xr:uid="{6E6EF026-C84D-48C6-96AB-F786412454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0B54-0C16-485D-93D3-DA1F4C0D898F}">
  <dimension ref="A1:D3"/>
  <sheetViews>
    <sheetView workbookViewId="0">
      <selection activeCell="C2" sqref="C2"/>
    </sheetView>
  </sheetViews>
  <sheetFormatPr defaultRowHeight="15" x14ac:dyDescent="0.25"/>
  <cols>
    <col min="1" max="1" width="15.5703125" bestFit="1" customWidth="1"/>
  </cols>
  <sheetData>
    <row r="1" spans="1:4" ht="15.75" x14ac:dyDescent="0.25">
      <c r="A1" s="9" t="s">
        <v>43</v>
      </c>
      <c r="B1" s="9" t="s">
        <v>44</v>
      </c>
      <c r="C1" s="9" t="s">
        <v>2</v>
      </c>
      <c r="D1" s="9" t="s">
        <v>5</v>
      </c>
    </row>
    <row r="2" spans="1:4" x14ac:dyDescent="0.25">
      <c r="A2" t="s">
        <v>7</v>
      </c>
    </row>
    <row r="3" spans="1:4" x14ac:dyDescent="0.25">
      <c r="A3" t="s">
        <v>21</v>
      </c>
    </row>
  </sheetData>
  <dataValidations count="1">
    <dataValidation type="list" allowBlank="1" showInputMessage="1" showErrorMessage="1" sqref="D14 D2:D13" xr:uid="{4ACE997D-61A7-4E85-9231-AECA617579FD}">
      <formula1>"Actice,Inactive"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A9AB2C-F1FD-4516-B35B-66C8BE18EBE5}">
          <x14:formula1>
            <xm:f>'Cleaned Data'!$B$2:$B$13</xm:f>
          </x14:formula1>
          <xm:sqref>A14:A16 A2:A13</xm:sqref>
        </x14:dataValidation>
        <x14:dataValidation type="list" allowBlank="1" showInputMessage="1" showErrorMessage="1" xr:uid="{F285267D-F71F-41C0-98DA-B29DC7AF17BA}">
          <x14:formula1>
            <xm:f>'Cleaned Data'!$D$2:$D$13</xm:f>
          </x14:formula1>
          <xm:sqref>B2:B13</xm:sqref>
        </x14:dataValidation>
        <x14:dataValidation type="list" allowBlank="1" showInputMessage="1" showErrorMessage="1" xr:uid="{BC7F4C42-D792-448A-83DC-84F655C3D471}">
          <x14:formula1>
            <xm:f>'Cleaned Data'!$C$2:$C$13</xm:f>
          </x14:formula1>
          <xm:sqref>C2:C13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75C7-4B20-4FCC-90CB-E860C2A71056}">
  <dimension ref="A1:A75"/>
  <sheetViews>
    <sheetView tabSelected="1" topLeftCell="A63" workbookViewId="0">
      <selection activeCell="M72" sqref="M72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4" spans="1:1" x14ac:dyDescent="0.25">
      <c r="A4" t="s">
        <v>48</v>
      </c>
    </row>
    <row r="6" spans="1:1" x14ac:dyDescent="0.25">
      <c r="A6" t="s">
        <v>49</v>
      </c>
    </row>
    <row r="7" spans="1:1" x14ac:dyDescent="0.25">
      <c r="A7" t="s">
        <v>50</v>
      </c>
    </row>
    <row r="9" spans="1:1" x14ac:dyDescent="0.25">
      <c r="A9" t="s">
        <v>51</v>
      </c>
    </row>
    <row r="10" spans="1:1" x14ac:dyDescent="0.25">
      <c r="A10">
        <f ca="1">COUNTIF(A:A,A2)</f>
        <v>0</v>
      </c>
    </row>
    <row r="12" spans="1:1" x14ac:dyDescent="0.25">
      <c r="A12" t="s">
        <v>52</v>
      </c>
    </row>
    <row r="14" spans="1:1" x14ac:dyDescent="0.25">
      <c r="A14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3" spans="1:1" x14ac:dyDescent="0.25">
      <c r="A23" t="s">
        <v>59</v>
      </c>
    </row>
    <row r="25" spans="1:1" x14ac:dyDescent="0.25">
      <c r="A25" t="s">
        <v>60</v>
      </c>
    </row>
    <row r="27" spans="1:1" x14ac:dyDescent="0.25">
      <c r="A27" t="s">
        <v>61</v>
      </c>
    </row>
    <row r="28" spans="1:1" x14ac:dyDescent="0.25">
      <c r="A28" t="s">
        <v>10</v>
      </c>
    </row>
    <row r="29" spans="1:1" x14ac:dyDescent="0.25">
      <c r="A29" t="s">
        <v>23</v>
      </c>
    </row>
    <row r="31" spans="1:1" x14ac:dyDescent="0.25">
      <c r="A31" t="s">
        <v>62</v>
      </c>
    </row>
    <row r="32" spans="1:1" x14ac:dyDescent="0.25">
      <c r="A32" t="s">
        <v>8</v>
      </c>
    </row>
    <row r="33" spans="1:1" x14ac:dyDescent="0.25">
      <c r="A33" t="s">
        <v>13</v>
      </c>
    </row>
    <row r="34" spans="1:1" x14ac:dyDescent="0.25">
      <c r="A34" t="s">
        <v>18</v>
      </c>
    </row>
    <row r="36" spans="1:1" x14ac:dyDescent="0.25">
      <c r="A36" t="s">
        <v>63</v>
      </c>
    </row>
    <row r="38" spans="1:1" x14ac:dyDescent="0.25">
      <c r="A38" t="s">
        <v>64</v>
      </c>
    </row>
    <row r="40" spans="1:1" x14ac:dyDescent="0.25">
      <c r="A40" t="s">
        <v>51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5" spans="1:1" x14ac:dyDescent="0.25">
      <c r="A45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  <row r="53" spans="1:1" x14ac:dyDescent="0.25">
      <c r="A53" t="s">
        <v>73</v>
      </c>
    </row>
    <row r="55" spans="1:1" x14ac:dyDescent="0.25">
      <c r="A55" t="s">
        <v>74</v>
      </c>
    </row>
    <row r="56" spans="1:1" x14ac:dyDescent="0.25">
      <c r="A56" t="s">
        <v>75</v>
      </c>
    </row>
    <row r="57" spans="1:1" x14ac:dyDescent="0.25">
      <c r="A57" t="s">
        <v>76</v>
      </c>
    </row>
    <row r="58" spans="1:1" x14ac:dyDescent="0.25">
      <c r="A58" t="s">
        <v>75</v>
      </c>
    </row>
    <row r="59" spans="1:1" x14ac:dyDescent="0.25">
      <c r="A59" t="s">
        <v>77</v>
      </c>
    </row>
    <row r="60" spans="1:1" x14ac:dyDescent="0.25">
      <c r="A60" t="s">
        <v>75</v>
      </c>
    </row>
    <row r="61" spans="1:1" x14ac:dyDescent="0.25">
      <c r="A61" t="s">
        <v>78</v>
      </c>
    </row>
    <row r="62" spans="1:1" x14ac:dyDescent="0.25">
      <c r="A62" t="s">
        <v>75</v>
      </c>
    </row>
    <row r="63" spans="1:1" x14ac:dyDescent="0.25">
      <c r="A63" t="s">
        <v>79</v>
      </c>
    </row>
    <row r="64" spans="1:1" x14ac:dyDescent="0.25">
      <c r="A64" t="s">
        <v>75</v>
      </c>
    </row>
    <row r="65" spans="1:1" x14ac:dyDescent="0.25">
      <c r="A65" t="s">
        <v>80</v>
      </c>
    </row>
    <row r="67" spans="1:1" x14ac:dyDescent="0.25">
      <c r="A67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2" spans="1:1" x14ac:dyDescent="0.25">
      <c r="A72" t="s">
        <v>84</v>
      </c>
    </row>
    <row r="73" spans="1:1" x14ac:dyDescent="0.25">
      <c r="A73" t="s">
        <v>85</v>
      </c>
    </row>
    <row r="75" spans="1:1" x14ac:dyDescent="0.25">
      <c r="A7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Data Entry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2026-09-11T13:23:20Z</dcterms:modified>
</cp:coreProperties>
</file>