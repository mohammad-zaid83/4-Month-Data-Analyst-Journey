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2\Day-04\"/>
    </mc:Choice>
  </mc:AlternateContent>
  <xr:revisionPtr revIDLastSave="0" documentId="13_ncr:1_{7B06D875-6262-4783-AD3C-73267A979FA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w Data" sheetId="1" r:id="rId1"/>
    <sheet name="Cleaned Data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3" l="1" a="1"/>
  <c r="A17" i="3" a="1"/>
  <c r="A23" i="3" a="1"/>
  <c r="R24" i="2" a="1"/>
  <c r="R21" i="2" a="1"/>
  <c r="R14" i="2" a="1"/>
  <c r="R9" i="2" a="1"/>
  <c r="K18" i="2" a="1"/>
  <c r="L9" i="2" a="1"/>
  <c r="L2" i="2" a="1"/>
  <c r="J2" i="2" a="1"/>
  <c r="I2" i="2" a="1"/>
  <c r="H2" i="2" a="1"/>
  <c r="A12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<sst xmlns="http://schemas.openxmlformats.org/spreadsheetml/2006/main" count="195" uniqueCount="68">
  <si>
    <t>Employee_ID</t>
  </si>
  <si>
    <t>Employee_Name</t>
  </si>
  <si>
    <t>Department</t>
  </si>
  <si>
    <t>Salary</t>
  </si>
  <si>
    <t>Experience</t>
  </si>
  <si>
    <t>Performance</t>
  </si>
  <si>
    <t>City</t>
  </si>
  <si>
    <t>E001</t>
  </si>
  <si>
    <t>Rahul</t>
  </si>
  <si>
    <t>Sales</t>
  </si>
  <si>
    <t>Good</t>
  </si>
  <si>
    <t>Lucknow</t>
  </si>
  <si>
    <t>E002</t>
  </si>
  <si>
    <t>Priya</t>
  </si>
  <si>
    <t>HR</t>
  </si>
  <si>
    <t>Excellent</t>
  </si>
  <si>
    <t>Delhi</t>
  </si>
  <si>
    <t>E003</t>
  </si>
  <si>
    <t>Arman</t>
  </si>
  <si>
    <t>IT</t>
  </si>
  <si>
    <t>Mumbai</t>
  </si>
  <si>
    <t>E004</t>
  </si>
  <si>
    <t>Zoya</t>
  </si>
  <si>
    <t>E005</t>
  </si>
  <si>
    <t>Hamza</t>
  </si>
  <si>
    <t>E006</t>
  </si>
  <si>
    <t>Sara</t>
  </si>
  <si>
    <t>E007</t>
  </si>
  <si>
    <t>Ali</t>
  </si>
  <si>
    <t>E008</t>
  </si>
  <si>
    <t>Fatima</t>
  </si>
  <si>
    <t>E009</t>
  </si>
  <si>
    <t>Sameer</t>
  </si>
  <si>
    <t>Average</t>
  </si>
  <si>
    <t>E010</t>
  </si>
  <si>
    <t>Ayesha</t>
  </si>
  <si>
    <t>E011</t>
  </si>
  <si>
    <t>E012</t>
  </si>
  <si>
    <t>E013</t>
  </si>
  <si>
    <t>E014</t>
  </si>
  <si>
    <t>E015</t>
  </si>
  <si>
    <t>Unique Dep</t>
  </si>
  <si>
    <t>U. City</t>
  </si>
  <si>
    <t>Emp. Sal.</t>
  </si>
  <si>
    <t>WEEK 02 — DAY 04</t>
  </si>
  <si>
    <t>DYNAMIC DATA ANALYSIS</t>
  </si>
  <si>
    <t>UNIQUE</t>
  </si>
  <si>
    <t>Returns unique values from a range.</t>
  </si>
  <si>
    <t>SORT</t>
  </si>
  <si>
    <t>Sorts data automatically.</t>
  </si>
  <si>
    <t>FILTER</t>
  </si>
  <si>
    <t>Returns rows that match a condition.</t>
  </si>
  <si>
    <t>MULTIPLE CONDITIONS</t>
  </si>
  <si>
    <t>Use * between conditions for AND logic.</t>
  </si>
  <si>
    <t>EXAMPLE</t>
  </si>
  <si>
    <t>Department = IT</t>
  </si>
  <si>
    <t>AND</t>
  </si>
  <si>
    <t>Performance = Excellent</t>
  </si>
  <si>
    <t>Salary &gt;= 60000</t>
  </si>
  <si>
    <t>FILTER can combine these conditions</t>
  </si>
  <si>
    <t>to return only matching records.</t>
  </si>
  <si>
    <t>KEY LEARNING</t>
  </si>
  <si>
    <t>FILTER is useful for answering</t>
  </si>
  <si>
    <t>business questions dynamically.</t>
  </si>
  <si>
    <t>Business Question</t>
  </si>
  <si>
    <t>↓</t>
  </si>
  <si>
    <t>Set Conditions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</si>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</sst>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Normal="100" workbookViewId="0">
      <selection activeCell="C8" sqref="A1:G16"/>
    </sheetView>
  </sheetViews>
  <sheetFormatPr defaultRowHeight="15" x14ac:dyDescent="0.25"/>
  <cols>
    <col min="1" max="1" width="5" customWidth="1"/>
    <col min="4" max="4" width="4.7109375" customWidth="1"/>
    <col min="6" max="6" width="5.140625" customWidth="1"/>
    <col min="7" max="7" width="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35000</v>
      </c>
      <c r="E2" s="1">
        <v>1</v>
      </c>
      <c r="F2" s="1" t="s">
        <v>10</v>
      </c>
      <c r="G2" s="1" t="s">
        <v>11</v>
      </c>
    </row>
    <row r="3" spans="1:7" x14ac:dyDescent="0.25">
      <c r="A3" s="1" t="s">
        <v>12</v>
      </c>
      <c r="B3" s="1" t="s">
        <v>13</v>
      </c>
      <c r="C3" s="1" t="s">
        <v>14</v>
      </c>
      <c r="D3" s="1">
        <v>42000</v>
      </c>
      <c r="E3" s="1">
        <v>3</v>
      </c>
      <c r="F3" s="1" t="s">
        <v>15</v>
      </c>
      <c r="G3" s="1" t="s">
        <v>16</v>
      </c>
    </row>
    <row r="4" spans="1:7" x14ac:dyDescent="0.25">
      <c r="A4" s="1" t="s">
        <v>17</v>
      </c>
      <c r="B4" s="1" t="s">
        <v>18</v>
      </c>
      <c r="C4" s="1" t="s">
        <v>19</v>
      </c>
      <c r="D4" s="1">
        <v>55000</v>
      </c>
      <c r="E4" s="1">
        <v>4</v>
      </c>
      <c r="F4" s="1" t="s">
        <v>15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9</v>
      </c>
      <c r="D5" s="1">
        <v>38000</v>
      </c>
      <c r="E5" s="1">
        <v>2</v>
      </c>
      <c r="F5" s="1" t="s">
        <v>10</v>
      </c>
      <c r="G5" s="1" t="s">
        <v>11</v>
      </c>
    </row>
    <row r="6" spans="1:7" x14ac:dyDescent="0.25">
      <c r="A6" s="1" t="s">
        <v>23</v>
      </c>
      <c r="B6" s="1" t="s">
        <v>24</v>
      </c>
      <c r="C6" s="1" t="s">
        <v>19</v>
      </c>
      <c r="D6" s="1">
        <v>62000</v>
      </c>
      <c r="E6" s="1">
        <v>5</v>
      </c>
      <c r="F6" s="1" t="s">
        <v>15</v>
      </c>
      <c r="G6" s="1" t="s">
        <v>16</v>
      </c>
    </row>
    <row r="7" spans="1:7" x14ac:dyDescent="0.25">
      <c r="A7" s="1" t="s">
        <v>25</v>
      </c>
      <c r="B7" s="1" t="s">
        <v>26</v>
      </c>
      <c r="C7" s="1" t="s">
        <v>14</v>
      </c>
      <c r="D7" s="1">
        <v>40000</v>
      </c>
      <c r="E7" s="1">
        <v>3</v>
      </c>
      <c r="F7" s="1" t="s">
        <v>10</v>
      </c>
      <c r="G7" s="1" t="s">
        <v>20</v>
      </c>
    </row>
    <row r="8" spans="1:7" x14ac:dyDescent="0.25">
      <c r="A8" s="1" t="s">
        <v>27</v>
      </c>
      <c r="B8" s="1" t="s">
        <v>28</v>
      </c>
      <c r="C8" s="1" t="s">
        <v>9</v>
      </c>
      <c r="D8" s="1">
        <v>45000</v>
      </c>
      <c r="E8" s="1">
        <v>4</v>
      </c>
      <c r="F8" s="1" t="s">
        <v>15</v>
      </c>
      <c r="G8" s="1" t="s">
        <v>16</v>
      </c>
    </row>
    <row r="9" spans="1:7" x14ac:dyDescent="0.25">
      <c r="A9" s="1" t="s">
        <v>29</v>
      </c>
      <c r="B9" s="1" t="s">
        <v>30</v>
      </c>
      <c r="C9" s="1" t="s">
        <v>19</v>
      </c>
      <c r="D9" s="1">
        <v>58000</v>
      </c>
      <c r="E9" s="1">
        <v>3</v>
      </c>
      <c r="F9" s="1" t="s">
        <v>10</v>
      </c>
      <c r="G9" s="1" t="s">
        <v>11</v>
      </c>
    </row>
    <row r="10" spans="1:7" x14ac:dyDescent="0.25">
      <c r="A10" s="1" t="s">
        <v>31</v>
      </c>
      <c r="B10" s="1" t="s">
        <v>32</v>
      </c>
      <c r="C10" s="1" t="s">
        <v>14</v>
      </c>
      <c r="D10" s="1">
        <v>37000</v>
      </c>
      <c r="E10" s="1">
        <v>2</v>
      </c>
      <c r="F10" s="1" t="s">
        <v>33</v>
      </c>
      <c r="G10" s="1" t="s">
        <v>16</v>
      </c>
    </row>
    <row r="11" spans="1:7" x14ac:dyDescent="0.25">
      <c r="A11" s="1" t="s">
        <v>34</v>
      </c>
      <c r="B11" s="1" t="s">
        <v>35</v>
      </c>
      <c r="C11" s="1" t="s">
        <v>9</v>
      </c>
      <c r="D11" s="1">
        <v>41000</v>
      </c>
      <c r="E11" s="1">
        <v>3</v>
      </c>
      <c r="F11" s="1" t="s">
        <v>10</v>
      </c>
      <c r="G11" s="1" t="s">
        <v>20</v>
      </c>
    </row>
    <row r="12" spans="1:7" x14ac:dyDescent="0.25">
      <c r="A12" s="1" t="s">
        <v>36</v>
      </c>
      <c r="B12" s="1" t="s">
        <v>8</v>
      </c>
      <c r="C12" s="1" t="s">
        <v>19</v>
      </c>
      <c r="D12" s="1">
        <v>60000</v>
      </c>
      <c r="E12" s="1">
        <v>5</v>
      </c>
      <c r="F12" s="1" t="s">
        <v>15</v>
      </c>
      <c r="G12" s="1" t="s">
        <v>11</v>
      </c>
    </row>
    <row r="13" spans="1:7" x14ac:dyDescent="0.25">
      <c r="A13" s="1" t="s">
        <v>37</v>
      </c>
      <c r="B13" s="1" t="s">
        <v>13</v>
      </c>
      <c r="C13" s="1" t="s">
        <v>14</v>
      </c>
      <c r="D13" s="1">
        <v>43000</v>
      </c>
      <c r="E13" s="1">
        <v>4</v>
      </c>
      <c r="F13" s="1" t="s">
        <v>15</v>
      </c>
      <c r="G13" s="1" t="s">
        <v>16</v>
      </c>
    </row>
    <row r="14" spans="1:7" x14ac:dyDescent="0.25">
      <c r="A14" s="1" t="s">
        <v>38</v>
      </c>
      <c r="B14" s="1" t="s">
        <v>18</v>
      </c>
      <c r="C14" s="1" t="s">
        <v>9</v>
      </c>
      <c r="D14" s="1">
        <v>39000</v>
      </c>
      <c r="E14" s="1">
        <v>2</v>
      </c>
      <c r="F14" s="1" t="s">
        <v>33</v>
      </c>
      <c r="G14" s="1" t="s">
        <v>20</v>
      </c>
    </row>
    <row r="15" spans="1:7" x14ac:dyDescent="0.25">
      <c r="A15" s="1" t="s">
        <v>39</v>
      </c>
      <c r="B15" s="1" t="s">
        <v>22</v>
      </c>
      <c r="C15" s="1" t="s">
        <v>19</v>
      </c>
      <c r="D15" s="1">
        <v>65000</v>
      </c>
      <c r="E15" s="1">
        <v>6</v>
      </c>
      <c r="F15" s="1" t="s">
        <v>15</v>
      </c>
      <c r="G15" s="1" t="s">
        <v>16</v>
      </c>
    </row>
    <row r="16" spans="1:7" x14ac:dyDescent="0.25">
      <c r="A16" s="1" t="s">
        <v>40</v>
      </c>
      <c r="B16" s="1" t="s">
        <v>24</v>
      </c>
      <c r="C16" s="1" t="s">
        <v>9</v>
      </c>
      <c r="D16" s="1">
        <v>47000</v>
      </c>
      <c r="E16" s="1">
        <v>4</v>
      </c>
      <c r="F16" s="1" t="s">
        <v>10</v>
      </c>
      <c r="G1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1EB6-2F4B-42BB-8E42-D582B1C3B24A}">
  <dimension ref="A1:X26"/>
  <sheetViews>
    <sheetView showGridLines="0" tabSelected="1" zoomScale="117" zoomScaleNormal="120" workbookViewId="0">
      <selection activeCell="H13" sqref="H13"/>
    </sheetView>
  </sheetViews>
  <sheetFormatPr defaultRowHeight="15" x14ac:dyDescent="0.25"/>
  <cols>
    <col min="1" max="1" width="13.85546875" style="2" bestFit="1" customWidth="1"/>
    <col min="2" max="2" width="17.7109375" style="2" bestFit="1" customWidth="1"/>
    <col min="3" max="3" width="12.85546875" style="2" bestFit="1" customWidth="1"/>
    <col min="4" max="4" width="7" style="2" bestFit="1" customWidth="1"/>
    <col min="5" max="5" width="11.5703125" style="2" bestFit="1" customWidth="1"/>
    <col min="6" max="6" width="13.7109375" style="2" bestFit="1" customWidth="1"/>
    <col min="7" max="7" width="8.85546875" style="2" bestFit="1" customWidth="1"/>
    <col min="8" max="8" width="11.42578125" style="2" bestFit="1" customWidth="1"/>
    <col min="9" max="16384" width="9.140625" style="2"/>
  </cols>
  <sheetData>
    <row r="1" spans="1:24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41</v>
      </c>
      <c r="I1" s="6" t="s">
        <v>42</v>
      </c>
      <c r="J1" s="5" t="s">
        <v>43</v>
      </c>
    </row>
    <row r="2" spans="1:24" x14ac:dyDescent="0.25">
      <c r="A2" s="4" t="s">
        <v>7</v>
      </c>
      <c r="B2" s="4" t="s">
        <v>8</v>
      </c>
      <c r="C2" s="4" t="s">
        <v>9</v>
      </c>
      <c r="D2" s="4">
        <v>35000</v>
      </c>
      <c r="E2" s="4">
        <v>1</v>
      </c>
      <c r="F2" s="4" t="s">
        <v>10</v>
      </c>
      <c r="G2" s="4" t="s">
        <v>11</v>
      </c>
      <c r="H2" s="4" t="str" cm="1">
        <f t="array" ref="H2:H4">_xlfn.UNIQUE(C2:C16)</f>
        <v>Sales</v>
      </c>
      <c r="I2" s="7" t="str" cm="1">
        <f t="array" ref="I2:I4">_xlfn.UNIQUE(G2:G16)</f>
        <v>Lucknow</v>
      </c>
      <c r="J2" s="4" cm="1">
        <f t="array" ref="J2:J16">_xlfn._xlws.SORT(D2:D16)</f>
        <v>35000</v>
      </c>
      <c r="L2" s="4" t="str" cm="1">
        <f t="array" ref="L2:R6">_xlfn._xlws.FILTER(A2:G16,C2:C16="IT")</f>
        <v>E003</v>
      </c>
      <c r="M2" s="4" t="str">
        <v>Arman</v>
      </c>
      <c r="N2" s="4" t="str">
        <v>IT</v>
      </c>
      <c r="O2" s="4">
        <v>55000</v>
      </c>
      <c r="P2" s="4">
        <v>4</v>
      </c>
      <c r="Q2" s="4" t="str">
        <v>Excellent</v>
      </c>
      <c r="R2" s="4" t="str">
        <v>Mumbai</v>
      </c>
    </row>
    <row r="3" spans="1:24" x14ac:dyDescent="0.25">
      <c r="A3" s="4" t="s">
        <v>12</v>
      </c>
      <c r="B3" s="4" t="s">
        <v>13</v>
      </c>
      <c r="C3" s="4" t="s">
        <v>14</v>
      </c>
      <c r="D3" s="4">
        <v>42000</v>
      </c>
      <c r="E3" s="4">
        <v>3</v>
      </c>
      <c r="F3" s="4" t="s">
        <v>15</v>
      </c>
      <c r="G3" s="4" t="s">
        <v>16</v>
      </c>
      <c r="H3" s="4" t="str">
        <v>HR</v>
      </c>
      <c r="I3" s="7" t="str">
        <v>Delhi</v>
      </c>
      <c r="J3" s="4">
        <v>37000</v>
      </c>
      <c r="L3" s="4" t="str">
        <v>E005</v>
      </c>
      <c r="M3" s="4" t="str">
        <v>Hamza</v>
      </c>
      <c r="N3" s="4" t="str">
        <v>IT</v>
      </c>
      <c r="O3" s="4">
        <v>62000</v>
      </c>
      <c r="P3" s="4">
        <v>5</v>
      </c>
      <c r="Q3" s="4" t="str">
        <v>Excellent</v>
      </c>
      <c r="R3" s="4" t="str">
        <v>Delhi</v>
      </c>
    </row>
    <row r="4" spans="1:24" x14ac:dyDescent="0.25">
      <c r="A4" s="4" t="s">
        <v>17</v>
      </c>
      <c r="B4" s="4" t="s">
        <v>18</v>
      </c>
      <c r="C4" s="4" t="s">
        <v>19</v>
      </c>
      <c r="D4" s="4">
        <v>55000</v>
      </c>
      <c r="E4" s="4">
        <v>4</v>
      </c>
      <c r="F4" s="4" t="s">
        <v>15</v>
      </c>
      <c r="G4" s="4" t="s">
        <v>20</v>
      </c>
      <c r="H4" s="4" t="str">
        <v>IT</v>
      </c>
      <c r="I4" s="7" t="str">
        <v>Mumbai</v>
      </c>
      <c r="J4" s="4">
        <v>38000</v>
      </c>
      <c r="L4" s="4" t="str">
        <v>E008</v>
      </c>
      <c r="M4" s="4" t="str">
        <v>Fatima</v>
      </c>
      <c r="N4" s="4" t="str">
        <v>IT</v>
      </c>
      <c r="O4" s="4">
        <v>58000</v>
      </c>
      <c r="P4" s="4">
        <v>3</v>
      </c>
      <c r="Q4" s="4" t="str">
        <v>Good</v>
      </c>
      <c r="R4" s="4" t="str">
        <v>Lucknow</v>
      </c>
    </row>
    <row r="5" spans="1:24" x14ac:dyDescent="0.25">
      <c r="A5" s="4" t="s">
        <v>21</v>
      </c>
      <c r="B5" s="4" t="s">
        <v>22</v>
      </c>
      <c r="C5" s="4" t="s">
        <v>9</v>
      </c>
      <c r="D5" s="4">
        <v>38000</v>
      </c>
      <c r="E5" s="4">
        <v>2</v>
      </c>
      <c r="F5" s="4" t="s">
        <v>10</v>
      </c>
      <c r="G5" s="4" t="s">
        <v>11</v>
      </c>
      <c r="J5" s="4">
        <v>39000</v>
      </c>
      <c r="L5" s="4" t="str">
        <v>E011</v>
      </c>
      <c r="M5" s="4" t="str">
        <v>Rahul</v>
      </c>
      <c r="N5" s="4" t="str">
        <v>IT</v>
      </c>
      <c r="O5" s="4">
        <v>60000</v>
      </c>
      <c r="P5" s="4">
        <v>5</v>
      </c>
      <c r="Q5" s="4" t="str">
        <v>Excellent</v>
      </c>
      <c r="R5" s="4" t="str">
        <v>Lucknow</v>
      </c>
    </row>
    <row r="6" spans="1:24" x14ac:dyDescent="0.25">
      <c r="A6" s="4" t="s">
        <v>23</v>
      </c>
      <c r="B6" s="4" t="s">
        <v>24</v>
      </c>
      <c r="C6" s="4" t="s">
        <v>19</v>
      </c>
      <c r="D6" s="4">
        <v>62000</v>
      </c>
      <c r="E6" s="4">
        <v>5</v>
      </c>
      <c r="F6" s="4" t="s">
        <v>15</v>
      </c>
      <c r="G6" s="4" t="s">
        <v>16</v>
      </c>
      <c r="J6" s="4">
        <v>40000</v>
      </c>
      <c r="L6" s="4" t="str">
        <v>E014</v>
      </c>
      <c r="M6" s="4" t="str">
        <v>Zoya</v>
      </c>
      <c r="N6" s="4" t="str">
        <v>IT</v>
      </c>
      <c r="O6" s="4">
        <v>65000</v>
      </c>
      <c r="P6" s="4">
        <v>6</v>
      </c>
      <c r="Q6" s="4" t="str">
        <v>Excellent</v>
      </c>
      <c r="R6" s="4" t="str">
        <v>Delhi</v>
      </c>
    </row>
    <row r="7" spans="1:24" x14ac:dyDescent="0.25">
      <c r="A7" s="4" t="s">
        <v>25</v>
      </c>
      <c r="B7" s="4" t="s">
        <v>26</v>
      </c>
      <c r="C7" s="4" t="s">
        <v>14</v>
      </c>
      <c r="D7" s="4">
        <v>40000</v>
      </c>
      <c r="E7" s="4">
        <v>3</v>
      </c>
      <c r="F7" s="4" t="s">
        <v>10</v>
      </c>
      <c r="G7" s="4" t="s">
        <v>20</v>
      </c>
      <c r="J7" s="4">
        <v>41000</v>
      </c>
    </row>
    <row r="8" spans="1:24" x14ac:dyDescent="0.25">
      <c r="A8" s="4" t="s">
        <v>27</v>
      </c>
      <c r="B8" s="4" t="s">
        <v>28</v>
      </c>
      <c r="C8" s="4" t="s">
        <v>9</v>
      </c>
      <c r="D8" s="4">
        <v>45000</v>
      </c>
      <c r="E8" s="4">
        <v>4</v>
      </c>
      <c r="F8" s="4" t="s">
        <v>15</v>
      </c>
      <c r="G8" s="4" t="s">
        <v>16</v>
      </c>
      <c r="J8" s="4">
        <v>42000</v>
      </c>
    </row>
    <row r="9" spans="1:24" x14ac:dyDescent="0.25">
      <c r="A9" s="4" t="s">
        <v>29</v>
      </c>
      <c r="B9" s="4" t="s">
        <v>30</v>
      </c>
      <c r="C9" s="4" t="s">
        <v>19</v>
      </c>
      <c r="D9" s="4">
        <v>58000</v>
      </c>
      <c r="E9" s="4">
        <v>3</v>
      </c>
      <c r="F9" s="4" t="s">
        <v>10</v>
      </c>
      <c r="G9" s="4" t="s">
        <v>11</v>
      </c>
      <c r="J9" s="4">
        <v>43000</v>
      </c>
      <c r="L9" s="4" t="str" cm="1">
        <f t="array" ref="L9:Q15">_xlfn._xlws.FILTER(B2:G16,F2:F16="Excellent")</f>
        <v>Priya</v>
      </c>
      <c r="M9" s="4" t="str">
        <v>HR</v>
      </c>
      <c r="N9" s="4">
        <v>42000</v>
      </c>
      <c r="O9" s="4">
        <v>3</v>
      </c>
      <c r="P9" s="4" t="str">
        <v>Excellent</v>
      </c>
      <c r="Q9" s="4" t="str">
        <v>Delhi</v>
      </c>
      <c r="R9" s="4" t="str" cm="1">
        <f t="array" ref="R9:X12">_xlfn._xlws.FILTER(A2:G16,(C2:C16="IT")*(F2:F16="Excellent"))</f>
        <v>E003</v>
      </c>
      <c r="S9" s="4" t="str">
        <v>Arman</v>
      </c>
      <c r="T9" s="4" t="str">
        <v>IT</v>
      </c>
      <c r="U9" s="4">
        <v>55000</v>
      </c>
      <c r="V9" s="4">
        <v>4</v>
      </c>
      <c r="W9" s="4" t="str">
        <v>Excellent</v>
      </c>
      <c r="X9" s="4" t="str">
        <v>Mumbai</v>
      </c>
    </row>
    <row r="10" spans="1:24" x14ac:dyDescent="0.25">
      <c r="A10" s="4" t="s">
        <v>31</v>
      </c>
      <c r="B10" s="4" t="s">
        <v>32</v>
      </c>
      <c r="C10" s="4" t="s">
        <v>14</v>
      </c>
      <c r="D10" s="4">
        <v>37000</v>
      </c>
      <c r="E10" s="4">
        <v>2</v>
      </c>
      <c r="F10" s="4" t="s">
        <v>33</v>
      </c>
      <c r="G10" s="4" t="s">
        <v>16</v>
      </c>
      <c r="J10" s="4">
        <v>45000</v>
      </c>
      <c r="L10" s="4" t="str">
        <v>Arman</v>
      </c>
      <c r="M10" s="4" t="str">
        <v>IT</v>
      </c>
      <c r="N10" s="4">
        <v>55000</v>
      </c>
      <c r="O10" s="4">
        <v>4</v>
      </c>
      <c r="P10" s="4" t="str">
        <v>Excellent</v>
      </c>
      <c r="Q10" s="4" t="str">
        <v>Mumbai</v>
      </c>
      <c r="R10" s="4" t="str">
        <v>E005</v>
      </c>
      <c r="S10" s="4" t="str">
        <v>Hamza</v>
      </c>
      <c r="T10" s="4" t="str">
        <v>IT</v>
      </c>
      <c r="U10" s="4">
        <v>62000</v>
      </c>
      <c r="V10" s="4">
        <v>5</v>
      </c>
      <c r="W10" s="4" t="str">
        <v>Excellent</v>
      </c>
      <c r="X10" s="4" t="str">
        <v>Delhi</v>
      </c>
    </row>
    <row r="11" spans="1:24" x14ac:dyDescent="0.25">
      <c r="A11" s="4" t="s">
        <v>34</v>
      </c>
      <c r="B11" s="4" t="s">
        <v>35</v>
      </c>
      <c r="C11" s="4" t="s">
        <v>9</v>
      </c>
      <c r="D11" s="4">
        <v>41000</v>
      </c>
      <c r="E11" s="4">
        <v>3</v>
      </c>
      <c r="F11" s="4" t="s">
        <v>10</v>
      </c>
      <c r="G11" s="4" t="s">
        <v>20</v>
      </c>
      <c r="J11" s="4">
        <v>47000</v>
      </c>
      <c r="L11" s="4" t="str">
        <v>Hamza</v>
      </c>
      <c r="M11" s="4" t="str">
        <v>IT</v>
      </c>
      <c r="N11" s="4">
        <v>62000</v>
      </c>
      <c r="O11" s="4">
        <v>5</v>
      </c>
      <c r="P11" s="4" t="str">
        <v>Excellent</v>
      </c>
      <c r="Q11" s="4" t="str">
        <v>Delhi</v>
      </c>
      <c r="R11" s="4" t="str">
        <v>E011</v>
      </c>
      <c r="S11" s="4" t="str">
        <v>Rahul</v>
      </c>
      <c r="T11" s="4" t="str">
        <v>IT</v>
      </c>
      <c r="U11" s="4">
        <v>60000</v>
      </c>
      <c r="V11" s="4">
        <v>5</v>
      </c>
      <c r="W11" s="4" t="str">
        <v>Excellent</v>
      </c>
      <c r="X11" s="4" t="str">
        <v>Lucknow</v>
      </c>
    </row>
    <row r="12" spans="1:24" x14ac:dyDescent="0.25">
      <c r="A12" s="4" t="s">
        <v>36</v>
      </c>
      <c r="B12" s="4" t="s">
        <v>8</v>
      </c>
      <c r="C12" s="4" t="s">
        <v>19</v>
      </c>
      <c r="D12" s="4">
        <v>60000</v>
      </c>
      <c r="E12" s="4">
        <v>5</v>
      </c>
      <c r="F12" s="4" t="s">
        <v>15</v>
      </c>
      <c r="G12" s="4" t="s">
        <v>11</v>
      </c>
      <c r="J12" s="4">
        <v>55000</v>
      </c>
      <c r="L12" s="4" t="str">
        <v>Ali</v>
      </c>
      <c r="M12" s="4" t="str">
        <v>Sales</v>
      </c>
      <c r="N12" s="4">
        <v>45000</v>
      </c>
      <c r="O12" s="4">
        <v>4</v>
      </c>
      <c r="P12" s="4" t="str">
        <v>Excellent</v>
      </c>
      <c r="Q12" s="4" t="str">
        <v>Delhi</v>
      </c>
      <c r="R12" s="4" t="str">
        <v>E014</v>
      </c>
      <c r="S12" s="4" t="str">
        <v>Zoya</v>
      </c>
      <c r="T12" s="4" t="str">
        <v>IT</v>
      </c>
      <c r="U12" s="4">
        <v>65000</v>
      </c>
      <c r="V12" s="4">
        <v>6</v>
      </c>
      <c r="W12" s="4" t="str">
        <v>Excellent</v>
      </c>
      <c r="X12" s="4" t="str">
        <v>Delhi</v>
      </c>
    </row>
    <row r="13" spans="1:24" x14ac:dyDescent="0.25">
      <c r="A13" s="4" t="s">
        <v>37</v>
      </c>
      <c r="B13" s="4" t="s">
        <v>13</v>
      </c>
      <c r="C13" s="4" t="s">
        <v>14</v>
      </c>
      <c r="D13" s="4">
        <v>43000</v>
      </c>
      <c r="E13" s="4">
        <v>4</v>
      </c>
      <c r="F13" s="4" t="s">
        <v>15</v>
      </c>
      <c r="G13" s="4" t="s">
        <v>16</v>
      </c>
      <c r="J13" s="4">
        <v>58000</v>
      </c>
      <c r="L13" s="4" t="str">
        <v>Rahul</v>
      </c>
      <c r="M13" s="4" t="str">
        <v>IT</v>
      </c>
      <c r="N13" s="4">
        <v>60000</v>
      </c>
      <c r="O13" s="4">
        <v>5</v>
      </c>
      <c r="P13" s="4" t="str">
        <v>Excellent</v>
      </c>
      <c r="Q13" s="4" t="str">
        <v>Lucknow</v>
      </c>
    </row>
    <row r="14" spans="1:24" x14ac:dyDescent="0.25">
      <c r="A14" s="4" t="s">
        <v>38</v>
      </c>
      <c r="B14" s="4" t="s">
        <v>18</v>
      </c>
      <c r="C14" s="4" t="s">
        <v>9</v>
      </c>
      <c r="D14" s="4">
        <v>39000</v>
      </c>
      <c r="E14" s="4">
        <v>2</v>
      </c>
      <c r="F14" s="4" t="s">
        <v>33</v>
      </c>
      <c r="G14" s="4" t="s">
        <v>20</v>
      </c>
      <c r="J14" s="4">
        <v>60000</v>
      </c>
      <c r="L14" s="4" t="str">
        <v>Priya</v>
      </c>
      <c r="M14" s="4" t="str">
        <v>HR</v>
      </c>
      <c r="N14" s="4">
        <v>43000</v>
      </c>
      <c r="O14" s="4">
        <v>4</v>
      </c>
      <c r="P14" s="4" t="str">
        <v>Excellent</v>
      </c>
      <c r="Q14" s="7" t="str">
        <v>Delhi</v>
      </c>
      <c r="R14" s="4" t="str" cm="1">
        <f t="array" ref="R14:X18">_xlfn._xlws.FILTER(A2:G16,D2:D16&gt;=50000)</f>
        <v>E003</v>
      </c>
      <c r="S14" s="4" t="str">
        <v>Arman</v>
      </c>
      <c r="T14" s="4" t="str">
        <v>IT</v>
      </c>
      <c r="U14" s="4">
        <v>55000</v>
      </c>
      <c r="V14" s="4">
        <v>4</v>
      </c>
      <c r="W14" s="4" t="str">
        <v>Excellent</v>
      </c>
      <c r="X14" s="4" t="str">
        <v>Mumbai</v>
      </c>
    </row>
    <row r="15" spans="1:24" x14ac:dyDescent="0.25">
      <c r="A15" s="4" t="s">
        <v>39</v>
      </c>
      <c r="B15" s="4" t="s">
        <v>22</v>
      </c>
      <c r="C15" s="4" t="s">
        <v>19</v>
      </c>
      <c r="D15" s="4">
        <v>65000</v>
      </c>
      <c r="E15" s="4">
        <v>6</v>
      </c>
      <c r="F15" s="4" t="s">
        <v>15</v>
      </c>
      <c r="G15" s="4" t="s">
        <v>16</v>
      </c>
      <c r="J15" s="4">
        <v>62000</v>
      </c>
      <c r="L15" s="4" t="str">
        <v>Zoya</v>
      </c>
      <c r="M15" s="4" t="str">
        <v>IT</v>
      </c>
      <c r="N15" s="4">
        <v>65000</v>
      </c>
      <c r="O15" s="4">
        <v>6</v>
      </c>
      <c r="P15" s="4" t="str">
        <v>Excellent</v>
      </c>
      <c r="Q15" s="7" t="str">
        <v>Delhi</v>
      </c>
      <c r="R15" s="4" t="str">
        <v>E005</v>
      </c>
      <c r="S15" s="4" t="str">
        <v>Hamza</v>
      </c>
      <c r="T15" s="4" t="str">
        <v>IT</v>
      </c>
      <c r="U15" s="4">
        <v>62000</v>
      </c>
      <c r="V15" s="4">
        <v>5</v>
      </c>
      <c r="W15" s="4" t="str">
        <v>Excellent</v>
      </c>
      <c r="X15" s="4" t="str">
        <v>Delhi</v>
      </c>
    </row>
    <row r="16" spans="1:24" x14ac:dyDescent="0.25">
      <c r="A16" s="4" t="s">
        <v>40</v>
      </c>
      <c r="B16" s="4" t="s">
        <v>24</v>
      </c>
      <c r="C16" s="4" t="s">
        <v>9</v>
      </c>
      <c r="D16" s="4">
        <v>47000</v>
      </c>
      <c r="E16" s="4">
        <v>4</v>
      </c>
      <c r="F16" s="4" t="s">
        <v>10</v>
      </c>
      <c r="G16" s="4" t="s">
        <v>11</v>
      </c>
      <c r="J16" s="4">
        <v>65000</v>
      </c>
      <c r="R16" s="4" t="str">
        <v>E008</v>
      </c>
      <c r="S16" s="4" t="str">
        <v>Fatima</v>
      </c>
      <c r="T16" s="4" t="str">
        <v>IT</v>
      </c>
      <c r="U16" s="4">
        <v>58000</v>
      </c>
      <c r="V16" s="4">
        <v>3</v>
      </c>
      <c r="W16" s="4" t="str">
        <v>Good</v>
      </c>
      <c r="X16" s="4" t="str">
        <v>Lucknow</v>
      </c>
    </row>
    <row r="17" spans="11:24" x14ac:dyDescent="0.25">
      <c r="R17" s="4" t="str">
        <v>E011</v>
      </c>
      <c r="S17" s="4" t="str">
        <v>Rahul</v>
      </c>
      <c r="T17" s="4" t="str">
        <v>IT</v>
      </c>
      <c r="U17" s="4">
        <v>60000</v>
      </c>
      <c r="V17" s="4">
        <v>5</v>
      </c>
      <c r="W17" s="4" t="str">
        <v>Excellent</v>
      </c>
      <c r="X17" s="4" t="str">
        <v>Lucknow</v>
      </c>
    </row>
    <row r="18" spans="11:24" x14ac:dyDescent="0.25">
      <c r="K18" s="4" t="str" cm="1">
        <f t="array" ref="K18:P23">_xlfn._xlws.FILTER(B2:G16,G2:G16="Delhi")</f>
        <v>Priya</v>
      </c>
      <c r="L18" s="4" t="str">
        <v>HR</v>
      </c>
      <c r="M18" s="4">
        <v>42000</v>
      </c>
      <c r="N18" s="4">
        <v>3</v>
      </c>
      <c r="O18" s="4" t="str">
        <v>Excellent</v>
      </c>
      <c r="P18" s="4" t="str">
        <v>Delhi</v>
      </c>
      <c r="R18" s="4" t="str">
        <v>E014</v>
      </c>
      <c r="S18" s="4" t="str">
        <v>Zoya</v>
      </c>
      <c r="T18" s="4" t="str">
        <v>IT</v>
      </c>
      <c r="U18" s="4">
        <v>65000</v>
      </c>
      <c r="V18" s="4">
        <v>6</v>
      </c>
      <c r="W18" s="4" t="str">
        <v>Excellent</v>
      </c>
      <c r="X18" s="4" t="str">
        <v>Delhi</v>
      </c>
    </row>
    <row r="19" spans="11:24" x14ac:dyDescent="0.25">
      <c r="K19" s="4" t="str">
        <v>Hamza</v>
      </c>
      <c r="L19" s="4" t="str">
        <v>IT</v>
      </c>
      <c r="M19" s="4">
        <v>62000</v>
      </c>
      <c r="N19" s="4">
        <v>5</v>
      </c>
      <c r="O19" s="4" t="str">
        <v>Excellent</v>
      </c>
      <c r="P19" s="4" t="str">
        <v>Delhi</v>
      </c>
    </row>
    <row r="20" spans="11:24" x14ac:dyDescent="0.25">
      <c r="K20" s="4" t="str">
        <v>Ali</v>
      </c>
      <c r="L20" s="4" t="str">
        <v>Sales</v>
      </c>
      <c r="M20" s="4">
        <v>45000</v>
      </c>
      <c r="N20" s="4">
        <v>4</v>
      </c>
      <c r="O20" s="4" t="str">
        <v>Excellent</v>
      </c>
      <c r="P20" s="4" t="str">
        <v>Delhi</v>
      </c>
    </row>
    <row r="21" spans="11:24" x14ac:dyDescent="0.25">
      <c r="K21" s="4" t="str">
        <v>Sameer</v>
      </c>
      <c r="L21" s="4" t="str">
        <v>HR</v>
      </c>
      <c r="M21" s="4">
        <v>37000</v>
      </c>
      <c r="N21" s="4">
        <v>2</v>
      </c>
      <c r="O21" s="4" t="str">
        <v>Average</v>
      </c>
      <c r="P21" s="4" t="str">
        <v>Delhi</v>
      </c>
      <c r="R21" s="4" t="str" cm="1">
        <f t="array" ref="R21:X21">_xlfn._xlws.FILTER(A2:G16,(G2:G16="Lucknow")*(F2:F16="Excellent"))</f>
        <v>E011</v>
      </c>
      <c r="S21" s="4" t="str">
        <v>Rahul</v>
      </c>
      <c r="T21" s="4" t="str">
        <v>IT</v>
      </c>
      <c r="U21" s="4">
        <v>60000</v>
      </c>
      <c r="V21" s="4">
        <v>5</v>
      </c>
      <c r="W21" s="4" t="str">
        <v>Excellent</v>
      </c>
      <c r="X21" s="4" t="str">
        <v>Lucknow</v>
      </c>
    </row>
    <row r="22" spans="11:24" x14ac:dyDescent="0.25">
      <c r="K22" s="4" t="str">
        <v>Priya</v>
      </c>
      <c r="L22" s="4" t="str">
        <v>HR</v>
      </c>
      <c r="M22" s="4">
        <v>43000</v>
      </c>
      <c r="N22" s="4">
        <v>4</v>
      </c>
      <c r="O22" s="4" t="str">
        <v>Excellent</v>
      </c>
      <c r="P22" s="4" t="str">
        <v>Delhi</v>
      </c>
    </row>
    <row r="23" spans="11:24" x14ac:dyDescent="0.25">
      <c r="K23" s="4" t="str">
        <v>Zoya</v>
      </c>
      <c r="L23" s="4" t="str">
        <v>IT</v>
      </c>
      <c r="M23" s="4">
        <v>65000</v>
      </c>
      <c r="N23" s="4">
        <v>6</v>
      </c>
      <c r="O23" s="4" t="str">
        <v>Excellent</v>
      </c>
      <c r="P23" s="4" t="str">
        <v>Delhi</v>
      </c>
    </row>
    <row r="24" spans="11:24" x14ac:dyDescent="0.25">
      <c r="R24" s="4" t="str" cm="1">
        <f t="array" ref="R24:X26">_xlfn._xlws.FILTER(A2:G16,(C2:C16="IT")*(F2:F16="Excellent")*(D2:D16&gt;=60000))</f>
        <v>E005</v>
      </c>
      <c r="S24" s="4" t="str">
        <v>Hamza</v>
      </c>
      <c r="T24" s="4" t="str">
        <v>IT</v>
      </c>
      <c r="U24" s="4">
        <v>62000</v>
      </c>
      <c r="V24" s="4">
        <v>5</v>
      </c>
      <c r="W24" s="4" t="str">
        <v>Excellent</v>
      </c>
      <c r="X24" s="4" t="str">
        <v>Delhi</v>
      </c>
    </row>
    <row r="25" spans="11:24" x14ac:dyDescent="0.25">
      <c r="R25" s="4" t="str">
        <v>E011</v>
      </c>
      <c r="S25" s="4" t="str">
        <v>Rahul</v>
      </c>
      <c r="T25" s="4" t="str">
        <v>IT</v>
      </c>
      <c r="U25" s="4">
        <v>60000</v>
      </c>
      <c r="V25" s="4">
        <v>5</v>
      </c>
      <c r="W25" s="4" t="str">
        <v>Excellent</v>
      </c>
      <c r="X25" s="4" t="str">
        <v>Lucknow</v>
      </c>
    </row>
    <row r="26" spans="11:24" x14ac:dyDescent="0.25">
      <c r="R26" s="4" t="str">
        <v>E014</v>
      </c>
      <c r="S26" s="4" t="str">
        <v>Zoya</v>
      </c>
      <c r="T26" s="4" t="str">
        <v>IT</v>
      </c>
      <c r="U26" s="4">
        <v>65000</v>
      </c>
      <c r="V26" s="4">
        <v>6</v>
      </c>
      <c r="W26" s="4" t="str">
        <v>Excellent</v>
      </c>
      <c r="X26" s="4" t="str">
        <v>Delhi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7854-D3A7-40D8-9523-749CD1422067}">
  <dimension ref="A1:A47"/>
  <sheetViews>
    <sheetView workbookViewId="0">
      <selection activeCell="K14" sqref="K14"/>
    </sheetView>
  </sheetViews>
  <sheetFormatPr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7" spans="1:1" x14ac:dyDescent="0.25">
      <c r="A7" cm="1">
        <f t="array" ref="A7">_xlfn.UNIQUE(C2:C16)</f>
        <v>0</v>
      </c>
    </row>
    <row r="9" spans="1:1" x14ac:dyDescent="0.25">
      <c r="A9" t="s">
        <v>48</v>
      </c>
    </row>
    <row r="10" spans="1:1" x14ac:dyDescent="0.25">
      <c r="A10" t="s">
        <v>49</v>
      </c>
    </row>
    <row r="12" spans="1:1" x14ac:dyDescent="0.25">
      <c r="A12" cm="1">
        <f t="array" aca="1" ref="A12" ca="1">_xlfn._xlws.SORT(A2:G16)</f>
        <v>0</v>
      </c>
    </row>
    <row r="14" spans="1:1" x14ac:dyDescent="0.25">
      <c r="A14" t="s">
        <v>50</v>
      </c>
    </row>
    <row r="15" spans="1:1" x14ac:dyDescent="0.25">
      <c r="A15" t="s">
        <v>51</v>
      </c>
    </row>
    <row r="17" spans="1:1" x14ac:dyDescent="0.25">
      <c r="A17" t="e" cm="1" vm="1">
        <f t="array" ref="A17">_xlfn._xlws.FILTER(A2:G16,C2:C16="IT")</f>
        <v>#VALUE!</v>
      </c>
    </row>
    <row r="19" spans="1:1" x14ac:dyDescent="0.25">
      <c r="A19" t="s">
        <v>52</v>
      </c>
    </row>
    <row r="21" spans="1:1" x14ac:dyDescent="0.25">
      <c r="A21" t="s">
        <v>53</v>
      </c>
    </row>
    <row r="23" spans="1:1" x14ac:dyDescent="0.25">
      <c r="A23" t="e" cm="1" vm="1">
        <f t="array" ref="A23">_xlfn._xlws.FILTER(A2:G16,(C2:C16="IT")*(F2:F16="Excellent"))</f>
        <v>#VALUE!</v>
      </c>
    </row>
    <row r="25" spans="1:1" x14ac:dyDescent="0.25">
      <c r="A25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56</v>
      </c>
    </row>
    <row r="31" spans="1:1" x14ac:dyDescent="0.25">
      <c r="A31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6" spans="1:1" x14ac:dyDescent="0.25">
      <c r="A36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65</v>
      </c>
    </row>
    <row r="45" spans="1:1" x14ac:dyDescent="0.25">
      <c r="A45" t="s">
        <v>50</v>
      </c>
    </row>
    <row r="46" spans="1:1" x14ac:dyDescent="0.25">
      <c r="A46" t="s">
        <v>65</v>
      </c>
    </row>
    <row r="47" spans="1:1" x14ac:dyDescent="0.25">
      <c r="A4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2026-09-12T11:23:10Z</dcterms:modified>
</cp:coreProperties>
</file>