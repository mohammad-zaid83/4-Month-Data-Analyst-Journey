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4_MONTH\4-Month-Data-Analyst-Journey\Month-01-Excel\Week-02\Week02-Project\"/>
    </mc:Choice>
  </mc:AlternateContent>
  <xr:revisionPtr revIDLastSave="0" documentId="13_ncr:1_{3790E853-1B16-41FF-A200-7074AD98E825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Raw Data" sheetId="1" r:id="rId1"/>
    <sheet name="Cleaned Data" sheetId="2" r:id="rId2"/>
    <sheet name="Sales_Data" sheetId="3" r:id="rId3"/>
    <sheet name="Product_Master" sheetId="4" r:id="rId4"/>
    <sheet name="Analysi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5" l="1" a="1"/>
  <c r="E16" i="5" a="1"/>
  <c r="E6" i="5" a="1"/>
  <c r="H3" i="3"/>
  <c r="H4" i="3"/>
  <c r="H5" i="3"/>
  <c r="H6" i="3"/>
  <c r="H7" i="3"/>
  <c r="H8" i="3"/>
  <c r="H9" i="3"/>
  <c r="H10" i="3"/>
  <c r="H11" i="3"/>
  <c r="H12" i="3"/>
  <c r="H13" i="3"/>
  <c r="D2" i="5"/>
  <c r="G3" i="3"/>
  <c r="G4" i="3"/>
  <c r="G5" i="3"/>
  <c r="G6" i="3"/>
  <c r="G7" i="3"/>
  <c r="G8" i="3"/>
  <c r="G9" i="3"/>
  <c r="G10" i="3"/>
  <c r="G11" i="3"/>
  <c r="G12" i="3"/>
  <c r="G13" i="3"/>
  <c r="F3" i="3"/>
  <c r="F4" i="3"/>
  <c r="B14" i="5" s="1" a="1"/>
  <c r="F5" i="3"/>
  <c r="F6" i="3"/>
  <c r="F7" i="3"/>
  <c r="F8" i="3"/>
  <c r="F9" i="3"/>
  <c r="F10" i="3"/>
  <c r="F11" i="3"/>
  <c r="F12" i="3"/>
  <c r="F13" i="3"/>
  <c r="E3" i="3"/>
  <c r="E4" i="3"/>
  <c r="E5" i="3"/>
  <c r="E6" i="3"/>
  <c r="E7" i="3"/>
  <c r="E8" i="3"/>
  <c r="E9" i="3"/>
  <c r="E10" i="3"/>
  <c r="E11" i="3"/>
  <c r="E12" i="3"/>
  <c r="E13" i="3"/>
  <c r="A14" i="5" a="1"/>
  <c r="E2" i="5" a="1"/>
  <c r="A7" i="5" a="1"/>
  <c r="B7" i="5" s="1"/>
  <c r="C2" i="5"/>
  <c r="B2" i="5"/>
  <c r="H2" i="3"/>
  <c r="G2" i="3"/>
  <c r="F2" i="3"/>
  <c r="E2" i="3"/>
  <c r="M3" i="2" a="1"/>
  <c r="M4" i="2" a="1"/>
  <c r="M5" i="2" a="1"/>
  <c r="M6" i="2" a="1"/>
  <c r="M7" i="2" a="1"/>
  <c r="M8" i="2" a="1"/>
  <c r="M9" i="2" a="1"/>
  <c r="M10" i="2" a="1"/>
  <c r="M11" i="2" a="1"/>
  <c r="M2" i="2" a="1"/>
  <c r="L3" i="2"/>
  <c r="L4" i="2"/>
  <c r="L5" i="2"/>
  <c r="L6" i="2"/>
  <c r="L7" i="2"/>
  <c r="L8" i="2"/>
  <c r="L9" i="2"/>
  <c r="L10" i="2"/>
  <c r="L11" i="2"/>
  <c r="L2" i="2"/>
  <c r="J3" i="2"/>
  <c r="J4" i="2"/>
  <c r="J5" i="2"/>
  <c r="J6" i="2"/>
  <c r="J7" i="2"/>
  <c r="J8" i="2"/>
  <c r="J9" i="2"/>
  <c r="J10" i="2"/>
  <c r="J11" i="2"/>
  <c r="J2" i="2"/>
  <c r="I3" i="2"/>
  <c r="I4" i="2"/>
  <c r="I5" i="2"/>
  <c r="I6" i="2"/>
  <c r="I7" i="2"/>
  <c r="I8" i="2"/>
  <c r="I9" i="2"/>
  <c r="I10" i="2"/>
  <c r="I11" i="2"/>
  <c r="I2" i="2"/>
  <c r="H3" i="2"/>
  <c r="H4" i="2"/>
  <c r="H5" i="2"/>
  <c r="H6" i="2"/>
  <c r="H7" i="2"/>
  <c r="H8" i="2"/>
  <c r="H9" i="2"/>
  <c r="H10" i="2"/>
  <c r="H11" i="2"/>
  <c r="H2" i="2"/>
  <c r="A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syed muhammad zaid</author>
  </authors>
  <commentList>
    <comment ref="C1" authorId="0" shapeId="0" xr:uid="{C46574B0-802B-4B68-8273-CA9CEC2FA21E}">
      <text>
        <r>
          <rPr>
            <b/>
            <sz val="9"/>
            <color indexed="81"/>
            <rFont val="Tahoma"/>
            <family val="2"/>
          </rPr>
          <t>syed muhammad zaid:</t>
        </r>
        <r>
          <rPr>
            <sz val="9"/>
            <color indexed="81"/>
            <rFont val="Tahoma"/>
            <family val="2"/>
          </rPr>
          <t xml:space="preserve">
Sabse zyada sales kis order ki hui?
</t>
        </r>
      </text>
    </comment>
    <comment ref="A5" authorId="0" shapeId="0" xr:uid="{7ACEEC5B-0CCE-4C80-983A-952FCC73BAB4}">
      <text>
        <r>
          <rPr>
            <b/>
            <sz val="9"/>
            <color indexed="81"/>
            <rFont val="Tahoma"/>
            <family val="2"/>
          </rPr>
          <t>syed muhammad zaid:</t>
        </r>
        <r>
          <rPr>
            <sz val="9"/>
            <color indexed="81"/>
            <rFont val="Tahoma"/>
            <family val="2"/>
          </rPr>
          <t xml:space="preserve">
Sabse zyada quantity mein kaunsa product sell hua?
</t>
        </r>
      </text>
    </comment>
    <comment ref="E20" authorId="0" shapeId="0" xr:uid="{82F2C775-FF26-4B17-A287-6F324DF144A3}">
      <text>
        <r>
          <rPr>
            <b/>
            <sz val="9"/>
            <color indexed="81"/>
            <rFont val="Tahoma"/>
            <family val="2"/>
          </rPr>
          <t>syed muhammad zaid:</t>
        </r>
        <r>
          <rPr>
            <sz val="9"/>
            <color indexed="81"/>
            <rFont val="Tahoma"/>
            <family val="2"/>
          </rPr>
          <t xml:space="preserve">
"Humein un orders ki list chahiye jahan product Electronics category ka ho, Total Sales ₹30,000 ya usse zyada ho, aur order ki quantity 2 ya usse zyada ho."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<sst xmlns="http://schemas.openxmlformats.org/spreadsheetml/2006/main" count="193" uniqueCount="88">
  <si>
    <t>Customer_ID</t>
  </si>
  <si>
    <t>Name</t>
  </si>
  <si>
    <t>City</t>
  </si>
  <si>
    <t>Age</t>
  </si>
  <si>
    <t>Email</t>
  </si>
  <si>
    <t>Status</t>
  </si>
  <si>
    <t>C001</t>
  </si>
  <si>
    <t>Rahul Sharma</t>
  </si>
  <si>
    <t>Lucknow</t>
  </si>
  <si>
    <t>rahul@gmail.com</t>
  </si>
  <si>
    <t>Active</t>
  </si>
  <si>
    <t>C002</t>
  </si>
  <si>
    <t>Priya Singh</t>
  </si>
  <si>
    <t>Delhi</t>
  </si>
  <si>
    <t>priya@gmail.com</t>
  </si>
  <si>
    <t>C003</t>
  </si>
  <si>
    <t>C004</t>
  </si>
  <si>
    <t>Arman Khan</t>
  </si>
  <si>
    <t>Mumbai</t>
  </si>
  <si>
    <t>arman@gmail.com</t>
  </si>
  <si>
    <t>C005</t>
  </si>
  <si>
    <t>Zoya Ali</t>
  </si>
  <si>
    <t>zoya@gmail.com</t>
  </si>
  <si>
    <t>Inactive</t>
  </si>
  <si>
    <t>C006</t>
  </si>
  <si>
    <t>C007</t>
  </si>
  <si>
    <t>Hamza Ahmed</t>
  </si>
  <si>
    <t>hamza@gmail.com</t>
  </si>
  <si>
    <t>C008</t>
  </si>
  <si>
    <t>Sara Khan</t>
  </si>
  <si>
    <t>sara@gmail.com</t>
  </si>
  <si>
    <t>C009</t>
  </si>
  <si>
    <t>C010</t>
  </si>
  <si>
    <t>Fatima Ali</t>
  </si>
  <si>
    <t>fatima@gmail.com</t>
  </si>
  <si>
    <t>Order_ID</t>
  </si>
  <si>
    <t>Product_ID</t>
  </si>
  <si>
    <t>Quantity</t>
  </si>
  <si>
    <t>O001</t>
  </si>
  <si>
    <t>P101</t>
  </si>
  <si>
    <t>O002</t>
  </si>
  <si>
    <t>P103</t>
  </si>
  <si>
    <t>O003</t>
  </si>
  <si>
    <t>P102</t>
  </si>
  <si>
    <t>O004</t>
  </si>
  <si>
    <t>P104</t>
  </si>
  <si>
    <t>O005</t>
  </si>
  <si>
    <t>O006</t>
  </si>
  <si>
    <t>P105</t>
  </si>
  <si>
    <t>O007</t>
  </si>
  <si>
    <t>O008</t>
  </si>
  <si>
    <t>O009</t>
  </si>
  <si>
    <t>O010</t>
  </si>
  <si>
    <t>O011</t>
  </si>
  <si>
    <t>O012</t>
  </si>
  <si>
    <t>Product_Name</t>
  </si>
  <si>
    <t>Category</t>
  </si>
  <si>
    <t>Price</t>
  </si>
  <si>
    <t>Laptop</t>
  </si>
  <si>
    <t>Electronics</t>
  </si>
  <si>
    <t>Office Chair</t>
  </si>
  <si>
    <t>Furniture</t>
  </si>
  <si>
    <t>Shirt</t>
  </si>
  <si>
    <t>Clothing</t>
  </si>
  <si>
    <t>Monitor</t>
  </si>
  <si>
    <t>Keyboard</t>
  </si>
  <si>
    <t>C-Name</t>
  </si>
  <si>
    <t>Cleaned Name</t>
  </si>
  <si>
    <t>Standarized City</t>
  </si>
  <si>
    <t>Cleaned Email</t>
  </si>
  <si>
    <t>Duplicate Status</t>
  </si>
  <si>
    <t>Age Category</t>
  </si>
  <si>
    <t>Product Name</t>
  </si>
  <si>
    <t>Unit Price</t>
  </si>
  <si>
    <t>Total Sale</t>
  </si>
  <si>
    <t>Total Sales</t>
  </si>
  <si>
    <t>Total Quantity</t>
  </si>
  <si>
    <t>Max Sale</t>
  </si>
  <si>
    <t>Quanity Sell</t>
  </si>
  <si>
    <t>Unique Order</t>
  </si>
  <si>
    <t>electronics Total sale</t>
  </si>
  <si>
    <t>50000+ Sale</t>
  </si>
  <si>
    <t>Unique cities</t>
  </si>
  <si>
    <t>Unique product categories</t>
  </si>
  <si>
    <t>Electronics orders</t>
  </si>
  <si>
    <t>Electronics + ₹20,000+ Total Sales</t>
  </si>
  <si>
    <t>Order List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</si>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</sst>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1" applyAlignment="1">
      <alignment vertical="center" wrapText="1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0" borderId="2" xfId="0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ra@gmail.com" TargetMode="External"/><Relationship Id="rId3" Type="http://schemas.openxmlformats.org/officeDocument/2006/relationships/hyperlink" Target="mailto:rahul@gmail.com" TargetMode="External"/><Relationship Id="rId7" Type="http://schemas.openxmlformats.org/officeDocument/2006/relationships/hyperlink" Target="mailto:hamza@gmail.com" TargetMode="External"/><Relationship Id="rId2" Type="http://schemas.openxmlformats.org/officeDocument/2006/relationships/hyperlink" Target="mailto:priya@gmail.com" TargetMode="External"/><Relationship Id="rId1" Type="http://schemas.openxmlformats.org/officeDocument/2006/relationships/hyperlink" Target="mailto:rahul@gmail.com" TargetMode="External"/><Relationship Id="rId6" Type="http://schemas.openxmlformats.org/officeDocument/2006/relationships/hyperlink" Target="mailto:priya@gmail.com" TargetMode="External"/><Relationship Id="rId5" Type="http://schemas.openxmlformats.org/officeDocument/2006/relationships/hyperlink" Target="mailto:zoya@gmail.com" TargetMode="External"/><Relationship Id="rId10" Type="http://schemas.openxmlformats.org/officeDocument/2006/relationships/hyperlink" Target="mailto:fatima@gmail.com" TargetMode="External"/><Relationship Id="rId4" Type="http://schemas.openxmlformats.org/officeDocument/2006/relationships/hyperlink" Target="mailto:arman@gmail.com" TargetMode="External"/><Relationship Id="rId9" Type="http://schemas.openxmlformats.org/officeDocument/2006/relationships/hyperlink" Target="mailto:arman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ara@gmail.com" TargetMode="External"/><Relationship Id="rId3" Type="http://schemas.openxmlformats.org/officeDocument/2006/relationships/hyperlink" Target="mailto:rahul@gmail.com" TargetMode="External"/><Relationship Id="rId7" Type="http://schemas.openxmlformats.org/officeDocument/2006/relationships/hyperlink" Target="mailto:hamza@gmail.com" TargetMode="External"/><Relationship Id="rId2" Type="http://schemas.openxmlformats.org/officeDocument/2006/relationships/hyperlink" Target="mailto:priya@gmail.com" TargetMode="External"/><Relationship Id="rId1" Type="http://schemas.openxmlformats.org/officeDocument/2006/relationships/hyperlink" Target="mailto:rahul@gmail.com" TargetMode="External"/><Relationship Id="rId6" Type="http://schemas.openxmlformats.org/officeDocument/2006/relationships/hyperlink" Target="mailto:priya@gmail.com" TargetMode="External"/><Relationship Id="rId5" Type="http://schemas.openxmlformats.org/officeDocument/2006/relationships/hyperlink" Target="mailto:zoya@gmail.com" TargetMode="External"/><Relationship Id="rId10" Type="http://schemas.openxmlformats.org/officeDocument/2006/relationships/hyperlink" Target="mailto:fatima@gmail.com" TargetMode="External"/><Relationship Id="rId4" Type="http://schemas.openxmlformats.org/officeDocument/2006/relationships/hyperlink" Target="mailto:arman@gmail.com" TargetMode="External"/><Relationship Id="rId9" Type="http://schemas.openxmlformats.org/officeDocument/2006/relationships/hyperlink" Target="mailto:arman@gmail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H2" sqref="H2"/>
    </sheetView>
  </sheetViews>
  <sheetFormatPr defaultRowHeight="15"/>
  <sheetData>
    <row r="1" spans="1:6" ht="30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 ht="30">
      <c r="A2" s="1" t="s">
        <v>6</v>
      </c>
      <c r="B2" s="2" t="s">
        <v>7</v>
      </c>
      <c r="C2" s="1" t="s">
        <v>8</v>
      </c>
      <c r="D2" s="1">
        <v>22</v>
      </c>
      <c r="E2" s="3" t="s">
        <v>9</v>
      </c>
      <c r="F2" s="1" t="s">
        <v>10</v>
      </c>
    </row>
    <row r="3" spans="1:6" ht="30">
      <c r="A3" s="1" t="s">
        <v>11</v>
      </c>
      <c r="B3" s="2" t="s">
        <v>12</v>
      </c>
      <c r="C3" s="1" t="s">
        <v>13</v>
      </c>
      <c r="D3" s="1">
        <v>24</v>
      </c>
      <c r="E3" s="3" t="s">
        <v>14</v>
      </c>
      <c r="F3" s="1" t="s">
        <v>10</v>
      </c>
    </row>
    <row r="4" spans="1:6" ht="30">
      <c r="A4" s="1" t="s">
        <v>15</v>
      </c>
      <c r="B4" s="2" t="s">
        <v>7</v>
      </c>
      <c r="C4" s="1" t="s">
        <v>8</v>
      </c>
      <c r="D4" s="1">
        <v>22</v>
      </c>
      <c r="E4" s="3" t="s">
        <v>9</v>
      </c>
      <c r="F4" s="1" t="s">
        <v>10</v>
      </c>
    </row>
    <row r="5" spans="1:6" ht="45">
      <c r="A5" s="1" t="s">
        <v>16</v>
      </c>
      <c r="B5" s="2" t="s">
        <v>17</v>
      </c>
      <c r="C5" s="1" t="s">
        <v>18</v>
      </c>
      <c r="D5" s="1">
        <v>19</v>
      </c>
      <c r="E5" s="3" t="s">
        <v>19</v>
      </c>
      <c r="F5" s="1" t="s">
        <v>10</v>
      </c>
    </row>
    <row r="6" spans="1:6" ht="30">
      <c r="A6" s="1" t="s">
        <v>20</v>
      </c>
      <c r="B6" s="2" t="s">
        <v>21</v>
      </c>
      <c r="C6" s="1" t="s">
        <v>8</v>
      </c>
      <c r="D6" s="1">
        <v>21</v>
      </c>
      <c r="E6" s="3" t="s">
        <v>22</v>
      </c>
      <c r="F6" s="1" t="s">
        <v>23</v>
      </c>
    </row>
    <row r="7" spans="1:6" ht="30">
      <c r="A7" s="1" t="s">
        <v>24</v>
      </c>
      <c r="B7" s="2" t="s">
        <v>12</v>
      </c>
      <c r="C7" s="1" t="s">
        <v>13</v>
      </c>
      <c r="D7" s="1">
        <v>24</v>
      </c>
      <c r="E7" s="3" t="s">
        <v>14</v>
      </c>
      <c r="F7" s="1" t="s">
        <v>10</v>
      </c>
    </row>
    <row r="8" spans="1:6" ht="45">
      <c r="A8" s="1" t="s">
        <v>25</v>
      </c>
      <c r="B8" s="2" t="s">
        <v>26</v>
      </c>
      <c r="C8" s="1" t="s">
        <v>8</v>
      </c>
      <c r="D8" s="1">
        <v>25</v>
      </c>
      <c r="E8" s="3" t="s">
        <v>27</v>
      </c>
      <c r="F8" s="1" t="s">
        <v>10</v>
      </c>
    </row>
    <row r="9" spans="1:6" ht="30">
      <c r="A9" s="1" t="s">
        <v>28</v>
      </c>
      <c r="B9" s="2" t="s">
        <v>29</v>
      </c>
      <c r="C9" s="1" t="s">
        <v>13</v>
      </c>
      <c r="D9" s="1">
        <v>20</v>
      </c>
      <c r="E9" s="3" t="s">
        <v>30</v>
      </c>
      <c r="F9" s="1" t="s">
        <v>10</v>
      </c>
    </row>
    <row r="10" spans="1:6" ht="45">
      <c r="A10" s="1" t="s">
        <v>31</v>
      </c>
      <c r="B10" s="2" t="s">
        <v>17</v>
      </c>
      <c r="C10" s="1" t="s">
        <v>18</v>
      </c>
      <c r="D10" s="1">
        <v>19</v>
      </c>
      <c r="E10" s="3" t="s">
        <v>19</v>
      </c>
      <c r="F10" s="1" t="s">
        <v>10</v>
      </c>
    </row>
    <row r="11" spans="1:6" ht="45">
      <c r="A11" s="1" t="s">
        <v>32</v>
      </c>
      <c r="B11" s="2" t="s">
        <v>33</v>
      </c>
      <c r="C11" s="1" t="s">
        <v>8</v>
      </c>
      <c r="D11" s="1">
        <v>23</v>
      </c>
      <c r="E11" s="3" t="s">
        <v>34</v>
      </c>
      <c r="F11" s="1" t="s">
        <v>10</v>
      </c>
    </row>
  </sheetData>
  <hyperlinks>
    <hyperlink ref="E2" r:id="rId1" display="mailto:rahul@gmail.com" xr:uid="{3FCE8B64-1DCE-42BA-AAC8-7CC5A9B15FE6}"/>
    <hyperlink ref="E3" r:id="rId2" display="mailto:priya@gmail.com" xr:uid="{665600C2-3C17-4522-8467-6AFD69E4B31C}"/>
    <hyperlink ref="E4" r:id="rId3" display="mailto:rahul@gmail.com" xr:uid="{C883BE47-F552-4D24-BD0C-C5253B798015}"/>
    <hyperlink ref="E5" r:id="rId4" display="mailto:arman@gmail.com" xr:uid="{2CCD180C-BB1B-4E09-81DA-A0987CFE265E}"/>
    <hyperlink ref="E6" r:id="rId5" display="mailto:zoya@gmail.com" xr:uid="{FEF4960C-D99B-40DA-A242-ECDECD8FEBD8}"/>
    <hyperlink ref="E7" r:id="rId6" display="mailto:priya@gmail.com" xr:uid="{DD692B70-3B10-41DE-B8AF-07C08E01A533}"/>
    <hyperlink ref="E8" r:id="rId7" display="mailto:hamza@gmail.com" xr:uid="{F1FE8C3E-4113-4D7B-A5BE-631B2CF6DF48}"/>
    <hyperlink ref="E9" r:id="rId8" display="mailto:sara@gmail.com" xr:uid="{FD03D670-FD87-4FD2-BABE-15F7E86C9C6E}"/>
    <hyperlink ref="E10" r:id="rId9" display="mailto:arman@gmail.com" xr:uid="{4D766A16-B07B-499A-8BB7-5233EFEA785C}"/>
    <hyperlink ref="E11" r:id="rId10" display="mailto:fatima@gmail.com" xr:uid="{F053CAA5-507C-47FE-9E5C-15849029E4B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EF3B7-30C4-40B1-9BA7-55183E788372}">
  <dimension ref="A1:M11"/>
  <sheetViews>
    <sheetView topLeftCell="C1" zoomScale="120" zoomScaleNormal="120" workbookViewId="0">
      <selection activeCell="J14" sqref="J14"/>
    </sheetView>
  </sheetViews>
  <sheetFormatPr defaultRowHeight="15"/>
  <cols>
    <col min="1" max="1" width="12.42578125" style="4" bestFit="1" customWidth="1"/>
    <col min="2" max="2" width="13.42578125" style="4" bestFit="1" customWidth="1"/>
    <col min="3" max="3" width="8.7109375" style="4" bestFit="1" customWidth="1"/>
    <col min="4" max="4" width="4.42578125" style="4" bestFit="1" customWidth="1"/>
    <col min="5" max="5" width="18" style="4" bestFit="1" customWidth="1"/>
    <col min="6" max="6" width="8" style="4" bestFit="1" customWidth="1"/>
    <col min="7" max="7" width="8" style="4" customWidth="1"/>
    <col min="8" max="8" width="14.140625" style="4" bestFit="1" customWidth="1"/>
    <col min="9" max="9" width="15.42578125" style="4" bestFit="1" customWidth="1"/>
    <col min="10" max="11" width="9.140625" style="4"/>
    <col min="12" max="12" width="15.42578125" style="4" bestFit="1" customWidth="1"/>
    <col min="13" max="13" width="12.7109375" style="4" bestFit="1" customWidth="1"/>
    <col min="14" max="16384" width="9.140625" style="4"/>
  </cols>
  <sheetData>
    <row r="1" spans="1:13">
      <c r="A1" s="5" t="s">
        <v>0</v>
      </c>
      <c r="B1" s="5" t="s">
        <v>66</v>
      </c>
      <c r="C1" s="5" t="s">
        <v>2</v>
      </c>
      <c r="D1" s="5" t="s">
        <v>3</v>
      </c>
      <c r="E1" s="5" t="s">
        <v>4</v>
      </c>
      <c r="F1" s="5" t="s">
        <v>5</v>
      </c>
      <c r="G1" s="14"/>
      <c r="H1" s="13" t="s">
        <v>67</v>
      </c>
      <c r="I1" s="13" t="s">
        <v>68</v>
      </c>
      <c r="J1" s="13" t="s">
        <v>69</v>
      </c>
      <c r="K1" s="13"/>
      <c r="L1" s="13" t="s">
        <v>70</v>
      </c>
      <c r="M1" s="13" t="s">
        <v>71</v>
      </c>
    </row>
    <row r="2" spans="1:13">
      <c r="A2" s="7" t="s">
        <v>6</v>
      </c>
      <c r="B2" s="8" t="s">
        <v>7</v>
      </c>
      <c r="C2" s="7" t="s">
        <v>8</v>
      </c>
      <c r="D2" s="7">
        <v>22</v>
      </c>
      <c r="E2" s="9" t="s">
        <v>9</v>
      </c>
      <c r="F2" s="7" t="s">
        <v>10</v>
      </c>
      <c r="G2" s="12"/>
      <c r="H2" s="6" t="str">
        <f>PROPER(TRIM(B2))</f>
        <v>Rahul Sharma</v>
      </c>
      <c r="I2" s="6" t="str">
        <f>PROPER(TRIM(C2))</f>
        <v>Lucknow</v>
      </c>
      <c r="J2" s="6" t="str">
        <f>TRIM(E2)</f>
        <v>rahul@gmail.com</v>
      </c>
      <c r="K2" s="6"/>
      <c r="L2" s="6" t="str">
        <f>IF(COUNTIF(B2:B11,B2)&gt;1,"Duplicate","Unique")</f>
        <v>Duplicate</v>
      </c>
      <c r="M2" s="6" t="str" cm="1">
        <f t="array" ref="M2">_xlfn.IFS(D2&lt;21,"Young",D2&lt;=25,"Adult",D2&gt;25,"Senior")</f>
        <v>Adult</v>
      </c>
    </row>
    <row r="3" spans="1:13">
      <c r="A3" s="7" t="s">
        <v>11</v>
      </c>
      <c r="B3" s="8" t="s">
        <v>12</v>
      </c>
      <c r="C3" s="7" t="s">
        <v>13</v>
      </c>
      <c r="D3" s="7">
        <v>24</v>
      </c>
      <c r="E3" s="9" t="s">
        <v>14</v>
      </c>
      <c r="F3" s="7" t="s">
        <v>10</v>
      </c>
      <c r="G3" s="12"/>
      <c r="H3" s="6" t="str">
        <f t="shared" ref="H3:H11" si="0">PROPER(TRIM(B3))</f>
        <v>Priya Singh</v>
      </c>
      <c r="I3" s="6" t="str">
        <f t="shared" ref="I3:I11" si="1">PROPER(TRIM(C3))</f>
        <v>Delhi</v>
      </c>
      <c r="J3" s="6" t="str">
        <f t="shared" ref="J3:J11" si="2">TRIM(E3)</f>
        <v>priya@gmail.com</v>
      </c>
      <c r="K3" s="6"/>
      <c r="L3" s="6" t="str">
        <f t="shared" ref="L3:L11" si="3">IF(COUNTIF(B3:B12,B3)&gt;1,"Duplicate","Unique")</f>
        <v>Duplicate</v>
      </c>
      <c r="M3" s="6" t="str" cm="1">
        <f t="array" ref="M3">_xlfn.IFS(D3&lt;21,"Young",D3&lt;=25,"Adult",D3&gt;25,"Senior")</f>
        <v>Adult</v>
      </c>
    </row>
    <row r="4" spans="1:13">
      <c r="A4" s="7" t="s">
        <v>15</v>
      </c>
      <c r="B4" s="8" t="s">
        <v>7</v>
      </c>
      <c r="C4" s="7" t="s">
        <v>8</v>
      </c>
      <c r="D4" s="7">
        <v>22</v>
      </c>
      <c r="E4" s="9" t="s">
        <v>9</v>
      </c>
      <c r="F4" s="7" t="s">
        <v>10</v>
      </c>
      <c r="G4" s="12"/>
      <c r="H4" s="6" t="str">
        <f t="shared" si="0"/>
        <v>Rahul Sharma</v>
      </c>
      <c r="I4" s="6" t="str">
        <f t="shared" si="1"/>
        <v>Lucknow</v>
      </c>
      <c r="J4" s="6" t="str">
        <f t="shared" si="2"/>
        <v>rahul@gmail.com</v>
      </c>
      <c r="K4" s="6"/>
      <c r="L4" s="6" t="str">
        <f t="shared" si="3"/>
        <v>Unique</v>
      </c>
      <c r="M4" s="6" t="str" cm="1">
        <f t="array" ref="M4">_xlfn.IFS(D4&lt;21,"Young",D4&lt;=25,"Adult",D4&gt;25,"Senior")</f>
        <v>Adult</v>
      </c>
    </row>
    <row r="5" spans="1:13">
      <c r="A5" s="7" t="s">
        <v>16</v>
      </c>
      <c r="B5" s="8" t="s">
        <v>17</v>
      </c>
      <c r="C5" s="7" t="s">
        <v>18</v>
      </c>
      <c r="D5" s="7">
        <v>19</v>
      </c>
      <c r="E5" s="9" t="s">
        <v>19</v>
      </c>
      <c r="F5" s="7" t="s">
        <v>10</v>
      </c>
      <c r="G5" s="12"/>
      <c r="H5" s="6" t="str">
        <f t="shared" si="0"/>
        <v>Arman Khan</v>
      </c>
      <c r="I5" s="6" t="str">
        <f t="shared" si="1"/>
        <v>Mumbai</v>
      </c>
      <c r="J5" s="6" t="str">
        <f t="shared" si="2"/>
        <v>arman@gmail.com</v>
      </c>
      <c r="K5" s="6"/>
      <c r="L5" s="6" t="str">
        <f t="shared" si="3"/>
        <v>Duplicate</v>
      </c>
      <c r="M5" s="6" t="str" cm="1">
        <f t="array" ref="M5">_xlfn.IFS(D5&lt;21,"Young",D5&lt;=25,"Adult",D5&gt;25,"Senior")</f>
        <v>Young</v>
      </c>
    </row>
    <row r="6" spans="1:13">
      <c r="A6" s="7" t="s">
        <v>20</v>
      </c>
      <c r="B6" s="8" t="s">
        <v>21</v>
      </c>
      <c r="C6" s="7" t="s">
        <v>8</v>
      </c>
      <c r="D6" s="7">
        <v>21</v>
      </c>
      <c r="E6" s="9" t="s">
        <v>22</v>
      </c>
      <c r="F6" s="7" t="s">
        <v>23</v>
      </c>
      <c r="G6" s="12"/>
      <c r="H6" s="6" t="str">
        <f t="shared" si="0"/>
        <v>Zoya Ali</v>
      </c>
      <c r="I6" s="6" t="str">
        <f t="shared" si="1"/>
        <v>Lucknow</v>
      </c>
      <c r="J6" s="6" t="str">
        <f t="shared" si="2"/>
        <v>zoya@gmail.com</v>
      </c>
      <c r="K6" s="6"/>
      <c r="L6" s="6" t="str">
        <f t="shared" si="3"/>
        <v>Unique</v>
      </c>
      <c r="M6" s="6" t="str" cm="1">
        <f t="array" ref="M6">_xlfn.IFS(D6&lt;21,"Young",D6&lt;=25,"Adult",D6&gt;25,"Senior")</f>
        <v>Adult</v>
      </c>
    </row>
    <row r="7" spans="1:13">
      <c r="A7" s="7" t="s">
        <v>24</v>
      </c>
      <c r="B7" s="8" t="s">
        <v>12</v>
      </c>
      <c r="C7" s="7" t="s">
        <v>13</v>
      </c>
      <c r="D7" s="7">
        <v>24</v>
      </c>
      <c r="E7" s="9" t="s">
        <v>14</v>
      </c>
      <c r="F7" s="7" t="s">
        <v>10</v>
      </c>
      <c r="G7" s="12"/>
      <c r="H7" s="6" t="str">
        <f t="shared" si="0"/>
        <v>Priya Singh</v>
      </c>
      <c r="I7" s="6" t="str">
        <f t="shared" si="1"/>
        <v>Delhi</v>
      </c>
      <c r="J7" s="6" t="str">
        <f t="shared" si="2"/>
        <v>priya@gmail.com</v>
      </c>
      <c r="K7" s="6"/>
      <c r="L7" s="6" t="str">
        <f t="shared" si="3"/>
        <v>Unique</v>
      </c>
      <c r="M7" s="6" t="str" cm="1">
        <f t="array" ref="M7">_xlfn.IFS(D7&lt;21,"Young",D7&lt;=25,"Adult",D7&gt;25,"Senior")</f>
        <v>Adult</v>
      </c>
    </row>
    <row r="8" spans="1:13">
      <c r="A8" s="7" t="s">
        <v>25</v>
      </c>
      <c r="B8" s="8" t="s">
        <v>26</v>
      </c>
      <c r="C8" s="7" t="s">
        <v>8</v>
      </c>
      <c r="D8" s="7">
        <v>26</v>
      </c>
      <c r="E8" s="9" t="s">
        <v>27</v>
      </c>
      <c r="F8" s="7" t="s">
        <v>10</v>
      </c>
      <c r="G8" s="12"/>
      <c r="H8" s="6" t="str">
        <f t="shared" si="0"/>
        <v>Hamza Ahmed</v>
      </c>
      <c r="I8" s="6" t="str">
        <f t="shared" si="1"/>
        <v>Lucknow</v>
      </c>
      <c r="J8" s="6" t="str">
        <f t="shared" si="2"/>
        <v>hamza@gmail.com</v>
      </c>
      <c r="K8" s="6"/>
      <c r="L8" s="6" t="str">
        <f t="shared" si="3"/>
        <v>Unique</v>
      </c>
      <c r="M8" s="6" t="str" cm="1">
        <f t="array" ref="M8">_xlfn.IFS(D8&lt;21,"Young",D8&lt;=25,"Adult",D8&gt;25,"Senior")</f>
        <v>Senior</v>
      </c>
    </row>
    <row r="9" spans="1:13">
      <c r="A9" s="7" t="s">
        <v>28</v>
      </c>
      <c r="B9" s="8" t="s">
        <v>29</v>
      </c>
      <c r="C9" s="7" t="s">
        <v>13</v>
      </c>
      <c r="D9" s="7">
        <v>20</v>
      </c>
      <c r="E9" s="9" t="s">
        <v>30</v>
      </c>
      <c r="F9" s="7" t="s">
        <v>10</v>
      </c>
      <c r="G9" s="12"/>
      <c r="H9" s="6" t="str">
        <f t="shared" si="0"/>
        <v>Sara Khan</v>
      </c>
      <c r="I9" s="6" t="str">
        <f t="shared" si="1"/>
        <v>Delhi</v>
      </c>
      <c r="J9" s="6" t="str">
        <f t="shared" si="2"/>
        <v>sara@gmail.com</v>
      </c>
      <c r="K9" s="6"/>
      <c r="L9" s="6" t="str">
        <f t="shared" si="3"/>
        <v>Unique</v>
      </c>
      <c r="M9" s="6" t="str" cm="1">
        <f t="array" ref="M9">_xlfn.IFS(D9&lt;21,"Young",D9&lt;=25,"Adult",D9&gt;25,"Senior")</f>
        <v>Young</v>
      </c>
    </row>
    <row r="10" spans="1:13">
      <c r="A10" s="7" t="s">
        <v>31</v>
      </c>
      <c r="B10" s="8" t="s">
        <v>17</v>
      </c>
      <c r="C10" s="7" t="s">
        <v>18</v>
      </c>
      <c r="D10" s="7">
        <v>19</v>
      </c>
      <c r="E10" s="9" t="s">
        <v>19</v>
      </c>
      <c r="F10" s="7" t="s">
        <v>10</v>
      </c>
      <c r="G10" s="12"/>
      <c r="H10" s="6" t="str">
        <f t="shared" si="0"/>
        <v>Arman Khan</v>
      </c>
      <c r="I10" s="6" t="str">
        <f t="shared" si="1"/>
        <v>Mumbai</v>
      </c>
      <c r="J10" s="6" t="str">
        <f t="shared" si="2"/>
        <v>arman@gmail.com</v>
      </c>
      <c r="K10" s="6"/>
      <c r="L10" s="6" t="str">
        <f t="shared" si="3"/>
        <v>Unique</v>
      </c>
      <c r="M10" s="6" t="str" cm="1">
        <f t="array" ref="M10">_xlfn.IFS(D10&lt;21,"Young",D10&lt;=25,"Adult",D10&gt;25,"Senior")</f>
        <v>Young</v>
      </c>
    </row>
    <row r="11" spans="1:13">
      <c r="A11" s="7" t="s">
        <v>32</v>
      </c>
      <c r="B11" s="8" t="s">
        <v>33</v>
      </c>
      <c r="C11" s="7" t="s">
        <v>8</v>
      </c>
      <c r="D11" s="7">
        <v>23</v>
      </c>
      <c r="E11" s="9" t="s">
        <v>34</v>
      </c>
      <c r="F11" s="7" t="s">
        <v>10</v>
      </c>
      <c r="G11" s="12"/>
      <c r="H11" s="6" t="str">
        <f t="shared" si="0"/>
        <v>Fatima Ali</v>
      </c>
      <c r="I11" s="6" t="str">
        <f t="shared" si="1"/>
        <v>Lucknow</v>
      </c>
      <c r="J11" s="6" t="str">
        <f t="shared" si="2"/>
        <v>fatima@gmail.com</v>
      </c>
      <c r="K11" s="6"/>
      <c r="L11" s="6" t="str">
        <f t="shared" si="3"/>
        <v>Unique</v>
      </c>
      <c r="M11" s="6" t="str" cm="1">
        <f t="array" ref="M11">_xlfn.IFS(D11&lt;21,"Young",D11&lt;=25,"Adult",D11&gt;25,"Senior")</f>
        <v>Adult</v>
      </c>
    </row>
  </sheetData>
  <hyperlinks>
    <hyperlink ref="E2" r:id="rId1" display="mailto:rahul@gmail.com" xr:uid="{B55F0041-49F7-446D-BD84-F0179080F130}"/>
    <hyperlink ref="E3" r:id="rId2" display="mailto:priya@gmail.com" xr:uid="{00CDF457-8F5B-454C-819E-91F7127533C0}"/>
    <hyperlink ref="E4" r:id="rId3" display="mailto:rahul@gmail.com" xr:uid="{488F222D-8375-4F4A-ACC2-018DFD7B228B}"/>
    <hyperlink ref="E5" r:id="rId4" display="mailto:arman@gmail.com" xr:uid="{F57D4D33-3FBC-4D08-A71B-3FBB2830F7E4}"/>
    <hyperlink ref="E6" r:id="rId5" display="mailto:zoya@gmail.com" xr:uid="{1EB436E4-EBA0-454F-A62F-DD68CD821347}"/>
    <hyperlink ref="E7" r:id="rId6" display="mailto:priya@gmail.com" xr:uid="{E68E7070-2404-4370-8C41-4C1CA32529C7}"/>
    <hyperlink ref="E8" r:id="rId7" display="mailto:hamza@gmail.com" xr:uid="{2E13D45D-952D-43EE-84E2-41F87B92258D}"/>
    <hyperlink ref="E9" r:id="rId8" display="mailto:sara@gmail.com" xr:uid="{9A300B08-08E0-4A95-ADBC-B94724906AA3}"/>
    <hyperlink ref="E10" r:id="rId9" display="mailto:arman@gmail.com" xr:uid="{801E6AEA-DAE6-4F94-8362-B21957652CE1}"/>
    <hyperlink ref="E11" r:id="rId10" display="mailto:fatima@gmail.com" xr:uid="{3D3626D6-DD97-4232-A23C-B8D15754616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C7D48-3B5D-4286-8DC2-BE60ABFD4568}">
  <dimension ref="A1:H13"/>
  <sheetViews>
    <sheetView zoomScale="145" zoomScaleNormal="145" workbookViewId="0">
      <selection activeCell="K1" sqref="K1"/>
    </sheetView>
  </sheetViews>
  <sheetFormatPr defaultRowHeight="15"/>
  <cols>
    <col min="1" max="1" width="9" style="11" bestFit="1" customWidth="1"/>
    <col min="2" max="2" width="12.42578125" style="11" bestFit="1" customWidth="1"/>
    <col min="3" max="3" width="10.7109375" style="11" bestFit="1" customWidth="1"/>
    <col min="4" max="4" width="8.7109375" style="11" bestFit="1" customWidth="1"/>
    <col min="5" max="6" width="13.7109375" style="11" bestFit="1" customWidth="1"/>
    <col min="7" max="7" width="10.5703125" style="11" bestFit="1" customWidth="1"/>
    <col min="8" max="16384" width="9.140625" style="11"/>
  </cols>
  <sheetData>
    <row r="1" spans="1:8">
      <c r="A1" s="5" t="s">
        <v>35</v>
      </c>
      <c r="B1" s="5" t="s">
        <v>0</v>
      </c>
      <c r="C1" s="5" t="s">
        <v>36</v>
      </c>
      <c r="D1" s="5" t="s">
        <v>37</v>
      </c>
      <c r="E1" s="5" t="s">
        <v>72</v>
      </c>
      <c r="F1" s="5" t="s">
        <v>56</v>
      </c>
      <c r="G1" s="5" t="s">
        <v>73</v>
      </c>
      <c r="H1" s="5" t="s">
        <v>74</v>
      </c>
    </row>
    <row r="2" spans="1:8">
      <c r="A2" s="7" t="s">
        <v>38</v>
      </c>
      <c r="B2" s="7" t="s">
        <v>6</v>
      </c>
      <c r="C2" s="7" t="s">
        <v>39</v>
      </c>
      <c r="D2" s="7">
        <v>1</v>
      </c>
      <c r="E2" s="7" t="str">
        <f>_xlfn.XLOOKUP(Sales_Data!C2,Product_Master!$A$2:$A$6,Product_Master!$B$2:$B$6)</f>
        <v>Laptop</v>
      </c>
      <c r="F2" s="7" t="str">
        <f>_xlfn.XLOOKUP(C2,Product_Master!$A$2:$A$6,Product_Master!$C$2:$C$6)</f>
        <v>Electronics</v>
      </c>
      <c r="G2" s="7">
        <f>_xlfn.XLOOKUP(C2,Product_Master!$A$2:$A$6,Product_Master!$D$2:$D$6)</f>
        <v>55000</v>
      </c>
      <c r="H2" s="7">
        <f>G2*D2</f>
        <v>55000</v>
      </c>
    </row>
    <row r="3" spans="1:8">
      <c r="A3" s="7" t="s">
        <v>40</v>
      </c>
      <c r="B3" s="7" t="s">
        <v>11</v>
      </c>
      <c r="C3" s="7" t="s">
        <v>41</v>
      </c>
      <c r="D3" s="7">
        <v>5</v>
      </c>
      <c r="E3" s="7" t="str">
        <f>_xlfn.XLOOKUP(Sales_Data!C3,Product_Master!$A$2:$A$6,Product_Master!$B$2:$B$6)</f>
        <v>Shirt</v>
      </c>
      <c r="F3" s="7" t="str">
        <f>_xlfn.XLOOKUP(C3,Product_Master!$A$2:$A$6,Product_Master!$C$2:$C$6)</f>
        <v>Clothing</v>
      </c>
      <c r="G3" s="7">
        <f>_xlfn.XLOOKUP(C3,Product_Master!$A$2:$A$6,Product_Master!$D$2:$D$6)</f>
        <v>1200</v>
      </c>
      <c r="H3" s="7">
        <f t="shared" ref="H3:H13" si="0">G3*D3</f>
        <v>6000</v>
      </c>
    </row>
    <row r="4" spans="1:8">
      <c r="A4" s="7" t="s">
        <v>42</v>
      </c>
      <c r="B4" s="7" t="s">
        <v>16</v>
      </c>
      <c r="C4" s="7" t="s">
        <v>43</v>
      </c>
      <c r="D4" s="7">
        <v>2</v>
      </c>
      <c r="E4" s="7" t="str">
        <f>_xlfn.XLOOKUP(Sales_Data!C4,Product_Master!$A$2:$A$6,Product_Master!$B$2:$B$6)</f>
        <v>Office Chair</v>
      </c>
      <c r="F4" s="7" t="str">
        <f>_xlfn.XLOOKUP(C4,Product_Master!$A$2:$A$6,Product_Master!$C$2:$C$6)</f>
        <v>Furniture</v>
      </c>
      <c r="G4" s="7">
        <f>_xlfn.XLOOKUP(C4,Product_Master!$A$2:$A$6,Product_Master!$D$2:$D$6)</f>
        <v>5000</v>
      </c>
      <c r="H4" s="7">
        <f t="shared" si="0"/>
        <v>10000</v>
      </c>
    </row>
    <row r="5" spans="1:8">
      <c r="A5" s="7" t="s">
        <v>44</v>
      </c>
      <c r="B5" s="7" t="s">
        <v>20</v>
      </c>
      <c r="C5" s="7" t="s">
        <v>45</v>
      </c>
      <c r="D5" s="7">
        <v>1</v>
      </c>
      <c r="E5" s="7" t="str">
        <f>_xlfn.XLOOKUP(Sales_Data!C5,Product_Master!$A$2:$A$6,Product_Master!$B$2:$B$6)</f>
        <v>Monitor</v>
      </c>
      <c r="F5" s="7" t="str">
        <f>_xlfn.XLOOKUP(C5,Product_Master!$A$2:$A$6,Product_Master!$C$2:$C$6)</f>
        <v>Electronics</v>
      </c>
      <c r="G5" s="7">
        <f>_xlfn.XLOOKUP(C5,Product_Master!$A$2:$A$6,Product_Master!$D$2:$D$6)</f>
        <v>18000</v>
      </c>
      <c r="H5" s="7">
        <f t="shared" si="0"/>
        <v>18000</v>
      </c>
    </row>
    <row r="6" spans="1:8">
      <c r="A6" s="7" t="s">
        <v>46</v>
      </c>
      <c r="B6" s="7" t="s">
        <v>25</v>
      </c>
      <c r="C6" s="7" t="s">
        <v>39</v>
      </c>
      <c r="D6" s="7">
        <v>2</v>
      </c>
      <c r="E6" s="7" t="str">
        <f>_xlfn.XLOOKUP(Sales_Data!C6,Product_Master!$A$2:$A$6,Product_Master!$B$2:$B$6)</f>
        <v>Laptop</v>
      </c>
      <c r="F6" s="7" t="str">
        <f>_xlfn.XLOOKUP(C6,Product_Master!$A$2:$A$6,Product_Master!$C$2:$C$6)</f>
        <v>Electronics</v>
      </c>
      <c r="G6" s="7">
        <f>_xlfn.XLOOKUP(C6,Product_Master!$A$2:$A$6,Product_Master!$D$2:$D$6)</f>
        <v>55000</v>
      </c>
      <c r="H6" s="7">
        <f t="shared" si="0"/>
        <v>110000</v>
      </c>
    </row>
    <row r="7" spans="1:8">
      <c r="A7" s="7" t="s">
        <v>47</v>
      </c>
      <c r="B7" s="7" t="s">
        <v>28</v>
      </c>
      <c r="C7" s="7" t="s">
        <v>48</v>
      </c>
      <c r="D7" s="7">
        <v>3</v>
      </c>
      <c r="E7" s="7" t="str">
        <f>_xlfn.XLOOKUP(Sales_Data!C7,Product_Master!$A$2:$A$6,Product_Master!$B$2:$B$6)</f>
        <v>Keyboard</v>
      </c>
      <c r="F7" s="7" t="str">
        <f>_xlfn.XLOOKUP(C7,Product_Master!$A$2:$A$6,Product_Master!$C$2:$C$6)</f>
        <v>Electronics</v>
      </c>
      <c r="G7" s="7">
        <f>_xlfn.XLOOKUP(C7,Product_Master!$A$2:$A$6,Product_Master!$D$2:$D$6)</f>
        <v>2500</v>
      </c>
      <c r="H7" s="7">
        <f t="shared" si="0"/>
        <v>7500</v>
      </c>
    </row>
    <row r="8" spans="1:8">
      <c r="A8" s="7" t="s">
        <v>49</v>
      </c>
      <c r="B8" s="7" t="s">
        <v>32</v>
      </c>
      <c r="C8" s="7" t="s">
        <v>41</v>
      </c>
      <c r="D8" s="7">
        <v>4</v>
      </c>
      <c r="E8" s="7" t="str">
        <f>_xlfn.XLOOKUP(Sales_Data!C8,Product_Master!$A$2:$A$6,Product_Master!$B$2:$B$6)</f>
        <v>Shirt</v>
      </c>
      <c r="F8" s="7" t="str">
        <f>_xlfn.XLOOKUP(C8,Product_Master!$A$2:$A$6,Product_Master!$C$2:$C$6)</f>
        <v>Clothing</v>
      </c>
      <c r="G8" s="7">
        <f>_xlfn.XLOOKUP(C8,Product_Master!$A$2:$A$6,Product_Master!$D$2:$D$6)</f>
        <v>1200</v>
      </c>
      <c r="H8" s="7">
        <f t="shared" si="0"/>
        <v>4800</v>
      </c>
    </row>
    <row r="9" spans="1:8">
      <c r="A9" s="7" t="s">
        <v>50</v>
      </c>
      <c r="B9" s="7" t="s">
        <v>15</v>
      </c>
      <c r="C9" s="7" t="s">
        <v>45</v>
      </c>
      <c r="D9" s="7">
        <v>2</v>
      </c>
      <c r="E9" s="7" t="str">
        <f>_xlfn.XLOOKUP(Sales_Data!C9,Product_Master!$A$2:$A$6,Product_Master!$B$2:$B$6)</f>
        <v>Monitor</v>
      </c>
      <c r="F9" s="7" t="str">
        <f>_xlfn.XLOOKUP(C9,Product_Master!$A$2:$A$6,Product_Master!$C$2:$C$6)</f>
        <v>Electronics</v>
      </c>
      <c r="G9" s="7">
        <f>_xlfn.XLOOKUP(C9,Product_Master!$A$2:$A$6,Product_Master!$D$2:$D$6)</f>
        <v>18000</v>
      </c>
      <c r="H9" s="7">
        <f t="shared" si="0"/>
        <v>36000</v>
      </c>
    </row>
    <row r="10" spans="1:8">
      <c r="A10" s="7" t="s">
        <v>51</v>
      </c>
      <c r="B10" s="7" t="s">
        <v>24</v>
      </c>
      <c r="C10" s="7" t="s">
        <v>43</v>
      </c>
      <c r="D10" s="7">
        <v>3</v>
      </c>
      <c r="E10" s="7" t="str">
        <f>_xlfn.XLOOKUP(Sales_Data!C10,Product_Master!$A$2:$A$6,Product_Master!$B$2:$B$6)</f>
        <v>Office Chair</v>
      </c>
      <c r="F10" s="7" t="str">
        <f>_xlfn.XLOOKUP(C10,Product_Master!$A$2:$A$6,Product_Master!$C$2:$C$6)</f>
        <v>Furniture</v>
      </c>
      <c r="G10" s="7">
        <f>_xlfn.XLOOKUP(C10,Product_Master!$A$2:$A$6,Product_Master!$D$2:$D$6)</f>
        <v>5000</v>
      </c>
      <c r="H10" s="7">
        <f t="shared" si="0"/>
        <v>15000</v>
      </c>
    </row>
    <row r="11" spans="1:8">
      <c r="A11" s="7" t="s">
        <v>52</v>
      </c>
      <c r="B11" s="7" t="s">
        <v>31</v>
      </c>
      <c r="C11" s="7" t="s">
        <v>39</v>
      </c>
      <c r="D11" s="7">
        <v>1</v>
      </c>
      <c r="E11" s="7" t="str">
        <f>_xlfn.XLOOKUP(Sales_Data!C11,Product_Master!$A$2:$A$6,Product_Master!$B$2:$B$6)</f>
        <v>Laptop</v>
      </c>
      <c r="F11" s="7" t="str">
        <f>_xlfn.XLOOKUP(C11,Product_Master!$A$2:$A$6,Product_Master!$C$2:$C$6)</f>
        <v>Electronics</v>
      </c>
      <c r="G11" s="7">
        <f>_xlfn.XLOOKUP(C11,Product_Master!$A$2:$A$6,Product_Master!$D$2:$D$6)</f>
        <v>55000</v>
      </c>
      <c r="H11" s="7">
        <f t="shared" si="0"/>
        <v>55000</v>
      </c>
    </row>
    <row r="12" spans="1:8">
      <c r="A12" s="7" t="s">
        <v>53</v>
      </c>
      <c r="B12" s="7" t="s">
        <v>11</v>
      </c>
      <c r="C12" s="7" t="s">
        <v>48</v>
      </c>
      <c r="D12" s="7">
        <v>2</v>
      </c>
      <c r="E12" s="7" t="str">
        <f>_xlfn.XLOOKUP(Sales_Data!C12,Product_Master!$A$2:$A$6,Product_Master!$B$2:$B$6)</f>
        <v>Keyboard</v>
      </c>
      <c r="F12" s="7" t="str">
        <f>_xlfn.XLOOKUP(C12,Product_Master!$A$2:$A$6,Product_Master!$C$2:$C$6)</f>
        <v>Electronics</v>
      </c>
      <c r="G12" s="7">
        <f>_xlfn.XLOOKUP(C12,Product_Master!$A$2:$A$6,Product_Master!$D$2:$D$6)</f>
        <v>2500</v>
      </c>
      <c r="H12" s="7">
        <f t="shared" si="0"/>
        <v>5000</v>
      </c>
    </row>
    <row r="13" spans="1:8">
      <c r="A13" s="7" t="s">
        <v>54</v>
      </c>
      <c r="B13" s="7" t="s">
        <v>25</v>
      </c>
      <c r="C13" s="7" t="s">
        <v>45</v>
      </c>
      <c r="D13" s="7">
        <v>2</v>
      </c>
      <c r="E13" s="7" t="str">
        <f>_xlfn.XLOOKUP(Sales_Data!C13,Product_Master!$A$2:$A$6,Product_Master!$B$2:$B$6)</f>
        <v>Monitor</v>
      </c>
      <c r="F13" s="7" t="str">
        <f>_xlfn.XLOOKUP(C13,Product_Master!$A$2:$A$6,Product_Master!$C$2:$C$6)</f>
        <v>Electronics</v>
      </c>
      <c r="G13" s="7">
        <f>_xlfn.XLOOKUP(C13,Product_Master!$A$2:$A$6,Product_Master!$D$2:$D$6)</f>
        <v>18000</v>
      </c>
      <c r="H13" s="7">
        <f t="shared" si="0"/>
        <v>36000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499C3-3CAE-44EB-9C84-25114E0BCAF3}">
  <dimension ref="A1:D6"/>
  <sheetViews>
    <sheetView topLeftCell="G1" zoomScale="120" zoomScaleNormal="120" workbookViewId="0">
      <selection activeCell="G5" sqref="G5"/>
    </sheetView>
  </sheetViews>
  <sheetFormatPr defaultRowHeight="15"/>
  <cols>
    <col min="1" max="1" width="10.7109375" style="11" bestFit="1" customWidth="1"/>
    <col min="2" max="2" width="14.28515625" style="11" bestFit="1" customWidth="1"/>
    <col min="3" max="3" width="10.5703125" style="11" bestFit="1" customWidth="1"/>
    <col min="4" max="16384" width="9.140625" style="11"/>
  </cols>
  <sheetData>
    <row r="1" spans="1:4">
      <c r="A1" s="5" t="s">
        <v>36</v>
      </c>
      <c r="B1" s="5" t="s">
        <v>55</v>
      </c>
      <c r="C1" s="5" t="s">
        <v>56</v>
      </c>
      <c r="D1" s="5" t="s">
        <v>57</v>
      </c>
    </row>
    <row r="2" spans="1:4">
      <c r="A2" s="7" t="s">
        <v>39</v>
      </c>
      <c r="B2" s="7" t="s">
        <v>58</v>
      </c>
      <c r="C2" s="7" t="s">
        <v>59</v>
      </c>
      <c r="D2" s="7">
        <v>55000</v>
      </c>
    </row>
    <row r="3" spans="1:4">
      <c r="A3" s="7" t="s">
        <v>43</v>
      </c>
      <c r="B3" s="7" t="s">
        <v>60</v>
      </c>
      <c r="C3" s="7" t="s">
        <v>61</v>
      </c>
      <c r="D3" s="7">
        <v>5000</v>
      </c>
    </row>
    <row r="4" spans="1:4">
      <c r="A4" s="7" t="s">
        <v>41</v>
      </c>
      <c r="B4" s="7" t="s">
        <v>62</v>
      </c>
      <c r="C4" s="7" t="s">
        <v>63</v>
      </c>
      <c r="D4" s="7">
        <v>1200</v>
      </c>
    </row>
    <row r="5" spans="1:4">
      <c r="A5" s="7" t="s">
        <v>45</v>
      </c>
      <c r="B5" s="7" t="s">
        <v>64</v>
      </c>
      <c r="C5" s="7" t="s">
        <v>59</v>
      </c>
      <c r="D5" s="7">
        <v>18000</v>
      </c>
    </row>
    <row r="6" spans="1:4">
      <c r="A6" s="7" t="s">
        <v>48</v>
      </c>
      <c r="B6" s="7" t="s">
        <v>65</v>
      </c>
      <c r="C6" s="7" t="s">
        <v>59</v>
      </c>
      <c r="D6" s="7">
        <v>2500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5AB73-45AD-4310-A8F4-40349B099ED8}">
  <dimension ref="A1:L23"/>
  <sheetViews>
    <sheetView tabSelected="1" topLeftCell="B4" zoomScale="101" zoomScaleNormal="120" workbookViewId="0">
      <selection activeCell="M15" sqref="M15"/>
    </sheetView>
  </sheetViews>
  <sheetFormatPr defaultRowHeight="15"/>
  <cols>
    <col min="1" max="1" width="13.140625" bestFit="1" customWidth="1"/>
    <col min="2" max="2" width="24.7109375" bestFit="1" customWidth="1"/>
    <col min="4" max="4" width="19.85546875" bestFit="1" customWidth="1"/>
    <col min="5" max="5" width="13.5703125" customWidth="1"/>
    <col min="6" max="6" width="11.5703125" bestFit="1" customWidth="1"/>
  </cols>
  <sheetData>
    <row r="1" spans="1:12">
      <c r="A1" s="16" t="s">
        <v>75</v>
      </c>
      <c r="B1" s="16" t="s">
        <v>76</v>
      </c>
      <c r="C1" s="16" t="s">
        <v>77</v>
      </c>
      <c r="D1" s="16" t="s">
        <v>80</v>
      </c>
      <c r="E1" s="16" t="s">
        <v>81</v>
      </c>
    </row>
    <row r="2" spans="1:12">
      <c r="A2" s="15">
        <f>SUM(Sales_Data!H2:H6)</f>
        <v>199000</v>
      </c>
      <c r="B2" s="15">
        <f>SUM(Sales_Data!D2:D13)</f>
        <v>28</v>
      </c>
      <c r="C2" s="15" t="str">
        <f>_xlfn.XLOOKUP(MAX(Sales_Data!D2:D13),Sales_Data!D2:D13,Sales_Data!A2:A13)</f>
        <v>O002</v>
      </c>
      <c r="D2" s="18">
        <f>SUMIF(Sales_Data!F2:F6,Sales_Data!F2,Sales_Data!H2:H6)</f>
        <v>183000</v>
      </c>
      <c r="E2" s="15" t="str" cm="1">
        <f t="array" ref="E2:E3">_xlfn._xlws.FILTER(Sales_Data!B2:B6,Sales_Data!G2:G6&gt;50000)</f>
        <v>C001</v>
      </c>
    </row>
    <row r="3" spans="1:12">
      <c r="E3" s="15" t="str">
        <v>C007</v>
      </c>
    </row>
    <row r="5" spans="1:12">
      <c r="A5" s="17" t="s">
        <v>78</v>
      </c>
      <c r="B5" s="17"/>
      <c r="E5" s="20" t="s">
        <v>84</v>
      </c>
      <c r="F5" s="21"/>
      <c r="G5" s="21"/>
      <c r="H5" s="21"/>
      <c r="I5" s="21"/>
      <c r="J5" s="21"/>
      <c r="K5" s="21"/>
      <c r="L5" s="22"/>
    </row>
    <row r="6" spans="1:12">
      <c r="A6" s="16" t="s">
        <v>79</v>
      </c>
      <c r="B6" s="16" t="s">
        <v>87</v>
      </c>
      <c r="E6" s="15" t="str" cm="1">
        <f t="array" ref="E6:L13">_xlfn._xlws.FILTER(Sales_Data!A2:H13,Sales_Data!F2:F13="Electronics")</f>
        <v>O001</v>
      </c>
      <c r="F6" s="15" t="str">
        <v>C001</v>
      </c>
      <c r="G6" s="15" t="str">
        <v>P101</v>
      </c>
      <c r="H6" s="15">
        <v>1</v>
      </c>
      <c r="I6" s="15" t="str">
        <v>Laptop</v>
      </c>
      <c r="J6" s="15" t="str">
        <v>Electronics</v>
      </c>
      <c r="K6" s="15">
        <v>55000</v>
      </c>
      <c r="L6" s="15">
        <v>55000</v>
      </c>
    </row>
    <row r="7" spans="1:12">
      <c r="A7" s="15" cm="1">
        <f t="array" ref="A7:A11">_xlfn.UNIQUE(Sales_Data!D2:D13)</f>
        <v>1</v>
      </c>
      <c r="B7" s="15" t="str">
        <f>_xlfn.XLOOKUP(A8,Sales_Data!D2:D13,Sales_Data!A2:A13)</f>
        <v>O002</v>
      </c>
      <c r="E7" s="15" t="str">
        <v>O004</v>
      </c>
      <c r="F7" s="15" t="str">
        <v>C005</v>
      </c>
      <c r="G7" s="15" t="str">
        <v>P104</v>
      </c>
      <c r="H7" s="15">
        <v>1</v>
      </c>
      <c r="I7" s="15" t="str">
        <v>Monitor</v>
      </c>
      <c r="J7" s="15" t="str">
        <v>Electronics</v>
      </c>
      <c r="K7" s="15">
        <v>18000</v>
      </c>
      <c r="L7" s="15">
        <v>18000</v>
      </c>
    </row>
    <row r="8" spans="1:12">
      <c r="A8" s="15">
        <v>5</v>
      </c>
      <c r="E8" s="15" t="str">
        <v>O005</v>
      </c>
      <c r="F8" s="15" t="str">
        <v>C007</v>
      </c>
      <c r="G8" s="15" t="str">
        <v>P101</v>
      </c>
      <c r="H8" s="15">
        <v>2</v>
      </c>
      <c r="I8" s="15" t="str">
        <v>Laptop</v>
      </c>
      <c r="J8" s="15" t="str">
        <v>Electronics</v>
      </c>
      <c r="K8" s="15">
        <v>55000</v>
      </c>
      <c r="L8" s="15">
        <v>110000</v>
      </c>
    </row>
    <row r="9" spans="1:12">
      <c r="A9" s="15">
        <v>2</v>
      </c>
      <c r="E9" s="15" t="str">
        <v>O006</v>
      </c>
      <c r="F9" s="15" t="str">
        <v>C008</v>
      </c>
      <c r="G9" s="15" t="str">
        <v>P105</v>
      </c>
      <c r="H9" s="15">
        <v>3</v>
      </c>
      <c r="I9" s="15" t="str">
        <v>Keyboard</v>
      </c>
      <c r="J9" s="15" t="str">
        <v>Electronics</v>
      </c>
      <c r="K9" s="15">
        <v>2500</v>
      </c>
      <c r="L9" s="15">
        <v>7500</v>
      </c>
    </row>
    <row r="10" spans="1:12">
      <c r="A10" s="15">
        <v>3</v>
      </c>
      <c r="E10" s="15" t="str">
        <v>O008</v>
      </c>
      <c r="F10" s="15" t="str">
        <v>C003</v>
      </c>
      <c r="G10" s="15" t="str">
        <v>P104</v>
      </c>
      <c r="H10" s="15">
        <v>2</v>
      </c>
      <c r="I10" s="15" t="str">
        <v>Monitor</v>
      </c>
      <c r="J10" s="15" t="str">
        <v>Electronics</v>
      </c>
      <c r="K10" s="15">
        <v>18000</v>
      </c>
      <c r="L10" s="15">
        <v>36000</v>
      </c>
    </row>
    <row r="11" spans="1:12">
      <c r="A11" s="15">
        <v>4</v>
      </c>
      <c r="E11" s="15" t="str">
        <v>O010</v>
      </c>
      <c r="F11" s="15" t="str">
        <v>C009</v>
      </c>
      <c r="G11" s="15" t="str">
        <v>P101</v>
      </c>
      <c r="H11" s="15">
        <v>1</v>
      </c>
      <c r="I11" s="15" t="str">
        <v>Laptop</v>
      </c>
      <c r="J11" s="15" t="str">
        <v>Electronics</v>
      </c>
      <c r="K11" s="15">
        <v>55000</v>
      </c>
      <c r="L11" s="15">
        <v>55000</v>
      </c>
    </row>
    <row r="12" spans="1:12">
      <c r="E12" s="15" t="str">
        <v>O011</v>
      </c>
      <c r="F12" s="15" t="str">
        <v>C002</v>
      </c>
      <c r="G12" s="15" t="str">
        <v>P105</v>
      </c>
      <c r="H12" s="15">
        <v>2</v>
      </c>
      <c r="I12" s="15" t="str">
        <v>Keyboard</v>
      </c>
      <c r="J12" s="15" t="str">
        <v>Electronics</v>
      </c>
      <c r="K12" s="15">
        <v>2500</v>
      </c>
      <c r="L12" s="15">
        <v>5000</v>
      </c>
    </row>
    <row r="13" spans="1:12">
      <c r="A13" s="16" t="s">
        <v>82</v>
      </c>
      <c r="B13" s="16" t="s">
        <v>83</v>
      </c>
      <c r="E13" s="15" t="str">
        <v>O012</v>
      </c>
      <c r="F13" s="15" t="str">
        <v>C007</v>
      </c>
      <c r="G13" s="15" t="str">
        <v>P104</v>
      </c>
      <c r="H13" s="15">
        <v>2</v>
      </c>
      <c r="I13" s="15" t="str">
        <v>Monitor</v>
      </c>
      <c r="J13" s="15" t="str">
        <v>Electronics</v>
      </c>
      <c r="K13" s="15">
        <v>18000</v>
      </c>
      <c r="L13" s="15">
        <v>36000</v>
      </c>
    </row>
    <row r="14" spans="1:12">
      <c r="A14" s="15" t="str" cm="1">
        <f t="array" ref="A14:A16">_xlfn.UNIQUE('Cleaned Data'!I2:I11)</f>
        <v>Lucknow</v>
      </c>
      <c r="B14" s="15" t="str" cm="1">
        <f t="array" ref="B14:B16">_xlfn.UNIQUE(Sales_Data!F2:F6)</f>
        <v>Electronics</v>
      </c>
    </row>
    <row r="15" spans="1:12">
      <c r="A15" s="15" t="str">
        <v>Delhi</v>
      </c>
      <c r="B15" s="15" t="str">
        <v>Clothing</v>
      </c>
      <c r="E15" s="20" t="s">
        <v>85</v>
      </c>
      <c r="F15" s="21"/>
      <c r="G15" s="21"/>
      <c r="H15" s="21"/>
      <c r="I15" s="21"/>
      <c r="J15" s="21"/>
      <c r="K15" s="21"/>
      <c r="L15" s="22"/>
    </row>
    <row r="16" spans="1:12">
      <c r="A16" s="15" t="str">
        <v>Mumbai</v>
      </c>
      <c r="B16" s="15" t="str">
        <v>Furniture</v>
      </c>
      <c r="E16" s="15" t="str" cm="1">
        <f t="array" ref="E16:L18">_xlfn._xlws.FILTER(Sales_Data!A2:H13,(Sales_Data!F2:F13="Electronics")*(Sales_Data!G2:G13&gt;=20000)*MAX(Sales_Data!H2:H13))</f>
        <v>O001</v>
      </c>
      <c r="F16" s="15" t="str">
        <v>C001</v>
      </c>
      <c r="G16" s="15" t="str">
        <v>P101</v>
      </c>
      <c r="H16" s="15">
        <v>1</v>
      </c>
      <c r="I16" s="15" t="str">
        <v>Laptop</v>
      </c>
      <c r="J16" s="15" t="str">
        <v>Electronics</v>
      </c>
      <c r="K16" s="15">
        <v>55000</v>
      </c>
      <c r="L16" s="15">
        <v>55000</v>
      </c>
    </row>
    <row r="17" spans="5:12">
      <c r="E17" s="15" t="str">
        <v>O005</v>
      </c>
      <c r="F17" s="15" t="str">
        <v>C007</v>
      </c>
      <c r="G17" s="15" t="str">
        <v>P101</v>
      </c>
      <c r="H17" s="15">
        <v>2</v>
      </c>
      <c r="I17" s="15" t="str">
        <v>Laptop</v>
      </c>
      <c r="J17" s="15" t="str">
        <v>Electronics</v>
      </c>
      <c r="K17" s="15">
        <v>55000</v>
      </c>
      <c r="L17" s="15">
        <v>110000</v>
      </c>
    </row>
    <row r="18" spans="5:12">
      <c r="E18" s="15" t="str">
        <v>O010</v>
      </c>
      <c r="F18" s="15" t="str">
        <v>C009</v>
      </c>
      <c r="G18" s="15" t="str">
        <v>P101</v>
      </c>
      <c r="H18" s="15">
        <v>1</v>
      </c>
      <c r="I18" s="15" t="str">
        <v>Laptop</v>
      </c>
      <c r="J18" s="15" t="str">
        <v>Electronics</v>
      </c>
      <c r="K18" s="15">
        <v>55000</v>
      </c>
      <c r="L18" s="15">
        <v>55000</v>
      </c>
    </row>
    <row r="20" spans="5:12">
      <c r="E20" s="19" t="s">
        <v>86</v>
      </c>
      <c r="F20" s="19"/>
      <c r="G20" s="19"/>
      <c r="H20" s="19"/>
      <c r="I20" s="19"/>
      <c r="J20" s="19"/>
      <c r="K20" s="19"/>
      <c r="L20" s="19"/>
    </row>
    <row r="21" spans="5:12">
      <c r="E21" s="15" t="str" cm="1">
        <f t="array" ref="E21:L23">_xlfn._xlws.FILTER(Sales_Data!A2:H13,(Sales_Data!F2:F13="Electronics")*(Sales_Data!D2:D13&gt;=2)*(Sales_Data!H2:H13&gt;=30000))</f>
        <v>O005</v>
      </c>
      <c r="F21" s="15" t="str">
        <v>C007</v>
      </c>
      <c r="G21" s="15" t="str">
        <v>P101</v>
      </c>
      <c r="H21" s="15">
        <v>2</v>
      </c>
      <c r="I21" s="15" t="str">
        <v>Laptop</v>
      </c>
      <c r="J21" s="15" t="str">
        <v>Electronics</v>
      </c>
      <c r="K21" s="15">
        <v>55000</v>
      </c>
      <c r="L21" s="15">
        <v>110000</v>
      </c>
    </row>
    <row r="22" spans="5:12">
      <c r="E22" s="15" t="str">
        <v>O008</v>
      </c>
      <c r="F22" s="15" t="str">
        <v>C003</v>
      </c>
      <c r="G22" s="15" t="str">
        <v>P104</v>
      </c>
      <c r="H22" s="15">
        <v>2</v>
      </c>
      <c r="I22" s="15" t="str">
        <v>Monitor</v>
      </c>
      <c r="J22" s="15" t="str">
        <v>Electronics</v>
      </c>
      <c r="K22" s="15">
        <v>18000</v>
      </c>
      <c r="L22" s="15">
        <v>36000</v>
      </c>
    </row>
    <row r="23" spans="5:12">
      <c r="E23" s="15" t="str">
        <v>O012</v>
      </c>
      <c r="F23" s="15" t="str">
        <v>C007</v>
      </c>
      <c r="G23" s="15" t="str">
        <v>P104</v>
      </c>
      <c r="H23" s="15">
        <v>2</v>
      </c>
      <c r="I23" s="15" t="str">
        <v>Monitor</v>
      </c>
      <c r="J23" s="15" t="str">
        <v>Electronics</v>
      </c>
      <c r="K23" s="15">
        <v>18000</v>
      </c>
      <c r="L23" s="15">
        <v>36000</v>
      </c>
    </row>
  </sheetData>
  <mergeCells count="4">
    <mergeCell ref="A5:B5"/>
    <mergeCell ref="E20:L20"/>
    <mergeCell ref="E5:L5"/>
    <mergeCell ref="E15:L1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Cleaned Data</vt:lpstr>
      <vt:lpstr>Sales_Data</vt:lpstr>
      <vt:lpstr>Product_Master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Mohammad zaid</dc:creator>
  <cp:lastModifiedBy>syed Mohammad zaid</cp:lastModifiedBy>
  <dcterms:created xsi:type="dcterms:W3CDTF">2015-06-05T18:17:20Z</dcterms:created>
  <dcterms:modified xsi:type="dcterms:W3CDTF">2026-09-13T13:52:13Z</dcterms:modified>
</cp:coreProperties>
</file>