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Day-01\"/>
    </mc:Choice>
  </mc:AlternateContent>
  <xr:revisionPtr revIDLastSave="0" documentId="13_ncr:1_{3CBD7FE1-CE92-4F6C-8C0C-D5C665AA16EC}" xr6:coauthVersionLast="47" xr6:coauthVersionMax="47" xr10:uidLastSave="{00000000-0000-0000-0000-000000000000}"/>
  <bookViews>
    <workbookView xWindow="-120" yWindow="-120" windowWidth="20730" windowHeight="11040" tabRatio="859" activeTab="2" xr2:uid="{00000000-000D-0000-FFFF-FFFF00000000}"/>
  </bookViews>
  <sheets>
    <sheet name="Interfaces" sheetId="1" r:id="rId1"/>
    <sheet name="Insert Data" sheetId="2" r:id="rId2"/>
    <sheet name="Calculation" sheetId="3" r:id="rId3"/>
    <sheet name="Basic Formu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Q4" i="3"/>
  <c r="Q5" i="3"/>
  <c r="Q6" i="3"/>
  <c r="Q7" i="3"/>
  <c r="Q8" i="3"/>
  <c r="Q9" i="3"/>
  <c r="Q10" i="3"/>
  <c r="Q11" i="3"/>
  <c r="Q12" i="3"/>
  <c r="Q3" i="3"/>
  <c r="N9" i="3"/>
  <c r="N4" i="3"/>
  <c r="N5" i="3"/>
  <c r="N6" i="3"/>
  <c r="N7" i="3"/>
  <c r="N8" i="3"/>
  <c r="N10" i="3"/>
  <c r="N11" i="3"/>
  <c r="N12" i="3"/>
  <c r="N3" i="3"/>
  <c r="P3" i="3"/>
  <c r="F3" i="3"/>
  <c r="F4" i="3"/>
  <c r="F5" i="3"/>
  <c r="F6" i="3"/>
  <c r="F7" i="3"/>
  <c r="F8" i="3"/>
  <c r="G4" i="3"/>
  <c r="G5" i="3"/>
  <c r="G6" i="3"/>
  <c r="G7" i="3"/>
  <c r="G8" i="3"/>
  <c r="G3" i="3"/>
  <c r="E4" i="3"/>
  <c r="E5" i="3"/>
  <c r="E6" i="3"/>
  <c r="E7" i="3"/>
  <c r="E8" i="3"/>
  <c r="E3" i="3"/>
  <c r="G2" i="2" a="1"/>
  <c r="F2" i="2" a="1"/>
  <c r="E2" i="2" a="1"/>
  <c r="D2" i="2" a="1"/>
  <c r="C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<sst xmlns="http://schemas.openxmlformats.org/spreadsheetml/2006/main" count="108" uniqueCount="100">
  <si>
    <t>How To Lock Excel File</t>
  </si>
  <si>
    <t>Save&gt;Browes&gt;Save In Desktop&gt;Save the File&gt;Tools Button Near Save&gt;Genreal Option&gt;There are a option To create password</t>
  </si>
  <si>
    <t>Built-in List ( Using Dcotor Symbol)</t>
  </si>
  <si>
    <t>Custom List</t>
  </si>
  <si>
    <t>Monday</t>
  </si>
  <si>
    <t>January</t>
  </si>
  <si>
    <t>Mon</t>
  </si>
  <si>
    <t>Jan</t>
  </si>
  <si>
    <t>Step: File&gt;option&gt;Advance Option&gt;Edit Custom Link</t>
  </si>
  <si>
    <t>Tuesday</t>
  </si>
  <si>
    <t>February</t>
  </si>
  <si>
    <t>Tue</t>
  </si>
  <si>
    <t>Feb</t>
  </si>
  <si>
    <t>arish</t>
  </si>
  <si>
    <t>Wednesday</t>
  </si>
  <si>
    <t>March</t>
  </si>
  <si>
    <t>Wed</t>
  </si>
  <si>
    <t>Mar</t>
  </si>
  <si>
    <t>ahaan</t>
  </si>
  <si>
    <t>Thursday</t>
  </si>
  <si>
    <t>April</t>
  </si>
  <si>
    <t>Thu</t>
  </si>
  <si>
    <t>Apr</t>
  </si>
  <si>
    <t>shivam</t>
  </si>
  <si>
    <t>Friday</t>
  </si>
  <si>
    <t>May</t>
  </si>
  <si>
    <t>Fri</t>
  </si>
  <si>
    <t>sani</t>
  </si>
  <si>
    <t>Saturday</t>
  </si>
  <si>
    <t>June</t>
  </si>
  <si>
    <t>Sat</t>
  </si>
  <si>
    <t>Jun</t>
  </si>
  <si>
    <t>shubhash</t>
  </si>
  <si>
    <t>Sunday</t>
  </si>
  <si>
    <t>July</t>
  </si>
  <si>
    <t>Sun</t>
  </si>
  <si>
    <t>Jul</t>
  </si>
  <si>
    <t>asheesh</t>
  </si>
  <si>
    <t>ID</t>
  </si>
  <si>
    <t>Name of YouTube Channel</t>
  </si>
  <si>
    <t>Trim</t>
  </si>
  <si>
    <t>Upper</t>
  </si>
  <si>
    <t>Lower</t>
  </si>
  <si>
    <t>Proper</t>
  </si>
  <si>
    <t>Length</t>
  </si>
  <si>
    <t>T-serlES</t>
  </si>
  <si>
    <t>SET India</t>
  </si>
  <si>
    <t>Zee Music company</t>
  </si>
  <si>
    <t>Sony Music INDIA</t>
  </si>
  <si>
    <t>Aaj Tak</t>
  </si>
  <si>
    <t>YRF</t>
  </si>
  <si>
    <t>CarryMINATI</t>
  </si>
  <si>
    <t>Ashish Chanchlani Vines</t>
  </si>
  <si>
    <t>BB Ki Vines</t>
  </si>
  <si>
    <t>Technical Guruji</t>
  </si>
  <si>
    <t>MrBeast</t>
  </si>
  <si>
    <t>PEwdiePie</t>
  </si>
  <si>
    <t>5-minute CRAFTS</t>
  </si>
  <si>
    <t>likeNastia</t>
  </si>
  <si>
    <t>coComelon - Nursery rhymes</t>
  </si>
  <si>
    <t>Canal Kondzilla</t>
  </si>
  <si>
    <t>kids D lana Show</t>
  </si>
  <si>
    <t>Badabun</t>
  </si>
  <si>
    <t>VanossGaming</t>
  </si>
  <si>
    <t>Markiplier</t>
  </si>
  <si>
    <t>Student Name</t>
  </si>
  <si>
    <t>English</t>
  </si>
  <si>
    <t>Hindi</t>
  </si>
  <si>
    <t>Science</t>
  </si>
  <si>
    <t>Total marks</t>
  </si>
  <si>
    <t>Maximum Num</t>
  </si>
  <si>
    <t>Basic Formulas</t>
  </si>
  <si>
    <t>Minimum</t>
  </si>
  <si>
    <t>Rajesh</t>
  </si>
  <si>
    <t>Mahesh</t>
  </si>
  <si>
    <t>Suresh</t>
  </si>
  <si>
    <t>harsh</t>
  </si>
  <si>
    <t>Brijesh</t>
  </si>
  <si>
    <t>kapil</t>
  </si>
  <si>
    <t>Laptop</t>
  </si>
  <si>
    <t>Mouse</t>
  </si>
  <si>
    <t>Keyboard</t>
  </si>
  <si>
    <t>Item Name</t>
  </si>
  <si>
    <t>Category</t>
  </si>
  <si>
    <t>Unit Cost ($)</t>
  </si>
  <si>
    <t>Quantity Sold</t>
  </si>
  <si>
    <t>Total Sales ($)</t>
  </si>
  <si>
    <t>Discount ($)</t>
  </si>
  <si>
    <t>Net Sales ($)</t>
  </si>
  <si>
    <t>Electronics</t>
  </si>
  <si>
    <t>Accessories</t>
  </si>
  <si>
    <t>Monitor</t>
  </si>
  <si>
    <t>Chair</t>
  </si>
  <si>
    <t>Furniture</t>
  </si>
  <si>
    <t>Desk</t>
  </si>
  <si>
    <t>Webcam</t>
  </si>
  <si>
    <t>Lamp</t>
  </si>
  <si>
    <t>USB Cable</t>
  </si>
  <si>
    <t>Headphone</t>
  </si>
  <si>
    <t>Average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</si>
</sst>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5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3" fillId="2" borderId="8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35122</xdr:colOff>
      <xdr:row>3</xdr:row>
      <xdr:rowOff>15874</xdr:rowOff>
    </xdr:from>
    <xdr:to>
      <xdr:col>14</xdr:col>
      <xdr:colOff>420104</xdr:colOff>
      <xdr:row>14</xdr:row>
      <xdr:rowOff>109085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994C1-146D-81C5-B184-5D89972A6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997" y="587374"/>
          <a:ext cx="2829732" cy="2188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zoomScale="120" zoomScaleNormal="120" workbookViewId="0">
      <selection activeCell="Q10" sqref="Q10"/>
    </sheetView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1" t="s">
        <v>2</v>
      </c>
      <c r="B4" s="1"/>
      <c r="C4" s="1"/>
      <c r="D4" s="1"/>
      <c r="F4" s="1" t="s">
        <v>3</v>
      </c>
      <c r="G4" s="1"/>
      <c r="H4" s="1"/>
      <c r="I4" s="1"/>
      <c r="J4" s="1"/>
    </row>
    <row r="5" spans="1:12">
      <c r="A5" s="3" t="s">
        <v>4</v>
      </c>
      <c r="B5" s="3" t="s">
        <v>5</v>
      </c>
      <c r="C5" s="3" t="s">
        <v>6</v>
      </c>
      <c r="D5" s="3" t="s">
        <v>7</v>
      </c>
      <c r="F5" s="4" t="s">
        <v>8</v>
      </c>
      <c r="G5" s="4"/>
      <c r="H5" s="4"/>
      <c r="I5" s="4"/>
      <c r="J5" s="4"/>
    </row>
    <row r="6" spans="1:12">
      <c r="A6" s="3" t="s">
        <v>9</v>
      </c>
      <c r="B6" s="3" t="s">
        <v>10</v>
      </c>
      <c r="C6" s="3" t="s">
        <v>11</v>
      </c>
      <c r="D6" s="3" t="s">
        <v>12</v>
      </c>
      <c r="F6" s="3"/>
      <c r="G6" s="3"/>
      <c r="H6" s="3" t="s">
        <v>13</v>
      </c>
      <c r="I6" s="3"/>
      <c r="J6" s="3"/>
    </row>
    <row r="7" spans="1:12">
      <c r="A7" s="3" t="s">
        <v>14</v>
      </c>
      <c r="B7" s="3" t="s">
        <v>15</v>
      </c>
      <c r="C7" s="3" t="s">
        <v>16</v>
      </c>
      <c r="D7" s="3" t="s">
        <v>17</v>
      </c>
      <c r="F7" s="3"/>
      <c r="G7" s="3"/>
      <c r="H7" s="3" t="s">
        <v>18</v>
      </c>
      <c r="I7" s="3"/>
      <c r="J7" s="3"/>
    </row>
    <row r="8" spans="1:12">
      <c r="A8" s="3" t="s">
        <v>19</v>
      </c>
      <c r="B8" s="3" t="s">
        <v>20</v>
      </c>
      <c r="C8" s="3" t="s">
        <v>21</v>
      </c>
      <c r="D8" s="3" t="s">
        <v>22</v>
      </c>
      <c r="F8" s="3"/>
      <c r="G8" s="3"/>
      <c r="H8" s="3" t="s">
        <v>23</v>
      </c>
      <c r="I8" s="3"/>
      <c r="J8" s="3"/>
    </row>
    <row r="9" spans="1:12">
      <c r="A9" s="3" t="s">
        <v>24</v>
      </c>
      <c r="B9" s="3" t="s">
        <v>25</v>
      </c>
      <c r="C9" s="3" t="s">
        <v>26</v>
      </c>
      <c r="D9" s="3" t="s">
        <v>25</v>
      </c>
      <c r="F9" s="3"/>
      <c r="G9" s="3"/>
      <c r="H9" s="3" t="s">
        <v>27</v>
      </c>
      <c r="I9" s="3"/>
      <c r="J9" s="3"/>
    </row>
    <row r="10" spans="1:12">
      <c r="A10" s="3" t="s">
        <v>28</v>
      </c>
      <c r="B10" s="3" t="s">
        <v>29</v>
      </c>
      <c r="C10" s="3" t="s">
        <v>30</v>
      </c>
      <c r="D10" s="3" t="s">
        <v>31</v>
      </c>
      <c r="F10" s="3"/>
      <c r="G10" s="3"/>
      <c r="H10" s="3" t="s">
        <v>32</v>
      </c>
      <c r="I10" s="3"/>
      <c r="J10" s="3"/>
    </row>
    <row r="11" spans="1:12">
      <c r="A11" s="3" t="s">
        <v>33</v>
      </c>
      <c r="B11" s="3" t="s">
        <v>34</v>
      </c>
      <c r="C11" s="3" t="s">
        <v>35</v>
      </c>
      <c r="D11" s="3" t="s">
        <v>36</v>
      </c>
      <c r="F11" s="3"/>
      <c r="G11" s="3"/>
      <c r="H11" s="3" t="s">
        <v>37</v>
      </c>
      <c r="I11" s="3"/>
      <c r="J11" s="3"/>
    </row>
  </sheetData>
  <mergeCells count="5">
    <mergeCell ref="F5:J5"/>
    <mergeCell ref="A2:L2"/>
    <mergeCell ref="A1:L1"/>
    <mergeCell ref="A4:D4"/>
    <mergeCell ref="F4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8181-5C43-4317-9335-D538E4865D53}">
  <dimension ref="A1:G21"/>
  <sheetViews>
    <sheetView zoomScale="120" zoomScaleNormal="120" workbookViewId="0">
      <selection activeCell="G3" sqref="G3"/>
    </sheetView>
  </sheetViews>
  <sheetFormatPr defaultRowHeight="15"/>
  <cols>
    <col min="1" max="1" width="3" bestFit="1" customWidth="1"/>
    <col min="2" max="2" width="27.42578125" bestFit="1" customWidth="1"/>
    <col min="3" max="3" width="27.140625" bestFit="1" customWidth="1"/>
    <col min="4" max="4" width="30.42578125" bestFit="1" customWidth="1"/>
    <col min="5" max="5" width="26.5703125" bestFit="1" customWidth="1"/>
    <col min="6" max="6" width="27.5703125" bestFit="1" customWidth="1"/>
    <col min="7" max="7" width="7.7109375" bestFit="1" customWidth="1"/>
  </cols>
  <sheetData>
    <row r="1" spans="1:7" ht="15.7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</row>
    <row r="2" spans="1:7">
      <c r="A2" s="6">
        <v>1</v>
      </c>
      <c r="B2" s="6" t="s">
        <v>45</v>
      </c>
      <c r="C2" s="6" t="str" cm="1">
        <f t="array" ref="C2:C21">TRIM(B2:B21)</f>
        <v>T-serlES</v>
      </c>
      <c r="D2" s="6" t="str" cm="1">
        <f t="array" ref="D2:D21">UPPER(B2:B21)</f>
        <v>T-SERLES</v>
      </c>
      <c r="E2" s="6" t="str" cm="1">
        <f t="array" ref="E2:E21">LOWER(_xlfn.ANCHORARRAY(D2))</f>
        <v>t-serles</v>
      </c>
      <c r="F2" s="6" t="str" cm="1">
        <f t="array" ref="F2:F21">PROPER(_xlfn.ANCHORARRAY(E2))</f>
        <v>T-Serles</v>
      </c>
      <c r="G2" s="6" cm="1">
        <f t="array" ref="G2:G21">LEN(_xlfn.ANCHORARRAY(F2))</f>
        <v>8</v>
      </c>
    </row>
    <row r="3" spans="1:7">
      <c r="A3" s="6">
        <v>2</v>
      </c>
      <c r="B3" s="6" t="s">
        <v>46</v>
      </c>
      <c r="C3" s="6" t="str">
        <v>SET India</v>
      </c>
      <c r="D3" s="6" t="str">
        <v>SET INDIA</v>
      </c>
      <c r="E3" s="6" t="str">
        <v>set india</v>
      </c>
      <c r="F3" s="6" t="str">
        <v>Set India</v>
      </c>
      <c r="G3" s="6">
        <v>9</v>
      </c>
    </row>
    <row r="4" spans="1:7">
      <c r="A4" s="6">
        <v>3</v>
      </c>
      <c r="B4" s="6" t="s">
        <v>47</v>
      </c>
      <c r="C4" s="6" t="str">
        <v>Zee Music company</v>
      </c>
      <c r="D4" s="6" t="str">
        <v>ZEE MUSIC COMPANY</v>
      </c>
      <c r="E4" s="6" t="str">
        <v>zee music company</v>
      </c>
      <c r="F4" s="6" t="str">
        <v>Zee Music Company</v>
      </c>
      <c r="G4" s="6">
        <v>17</v>
      </c>
    </row>
    <row r="5" spans="1:7">
      <c r="A5" s="6">
        <v>4</v>
      </c>
      <c r="B5" s="6" t="s">
        <v>48</v>
      </c>
      <c r="C5" s="6" t="str">
        <v>Sony Music INDIA</v>
      </c>
      <c r="D5" s="6" t="str">
        <v>SONY MUSIC INDIA</v>
      </c>
      <c r="E5" s="6" t="str">
        <v>sony music india</v>
      </c>
      <c r="F5" s="6" t="str">
        <v>Sony Music India</v>
      </c>
      <c r="G5" s="6">
        <v>16</v>
      </c>
    </row>
    <row r="6" spans="1:7">
      <c r="A6" s="6">
        <v>5</v>
      </c>
      <c r="B6" s="6" t="s">
        <v>49</v>
      </c>
      <c r="C6" s="6" t="str">
        <v>Aaj Tak</v>
      </c>
      <c r="D6" s="6" t="str">
        <v>AAJ TAK</v>
      </c>
      <c r="E6" s="6" t="str">
        <v>aaj tak</v>
      </c>
      <c r="F6" s="6" t="str">
        <v>Aaj Tak</v>
      </c>
      <c r="G6" s="6">
        <v>7</v>
      </c>
    </row>
    <row r="7" spans="1:7">
      <c r="A7" s="6">
        <v>6</v>
      </c>
      <c r="B7" s="6" t="s">
        <v>50</v>
      </c>
      <c r="C7" s="6" t="str">
        <v>YRF</v>
      </c>
      <c r="D7" s="6" t="str">
        <v>YRF</v>
      </c>
      <c r="E7" s="6" t="str">
        <v>yrf</v>
      </c>
      <c r="F7" s="6" t="str">
        <v>Yrf</v>
      </c>
      <c r="G7" s="6">
        <v>3</v>
      </c>
    </row>
    <row r="8" spans="1:7">
      <c r="A8" s="6">
        <v>7</v>
      </c>
      <c r="B8" s="6" t="s">
        <v>51</v>
      </c>
      <c r="C8" s="6" t="str">
        <v>CarryMINATI</v>
      </c>
      <c r="D8" s="6" t="str">
        <v>CARRYMINATI</v>
      </c>
      <c r="E8" s="6" t="str">
        <v>carryminati</v>
      </c>
      <c r="F8" s="6" t="str">
        <v>Carryminati</v>
      </c>
      <c r="G8" s="6">
        <v>11</v>
      </c>
    </row>
    <row r="9" spans="1:7">
      <c r="A9" s="6">
        <v>8</v>
      </c>
      <c r="B9" s="6" t="s">
        <v>52</v>
      </c>
      <c r="C9" s="6" t="str">
        <v>Ashish Chanchlani Vines</v>
      </c>
      <c r="D9" s="6" t="str">
        <v>ASHISH CHANCHLANI VINES</v>
      </c>
      <c r="E9" s="6" t="str">
        <v>ashish chanchlani vines</v>
      </c>
      <c r="F9" s="6" t="str">
        <v>Ashish Chanchlani Vines</v>
      </c>
      <c r="G9" s="6">
        <v>23</v>
      </c>
    </row>
    <row r="10" spans="1:7">
      <c r="A10" s="6">
        <v>9</v>
      </c>
      <c r="B10" s="6" t="s">
        <v>53</v>
      </c>
      <c r="C10" s="6" t="str">
        <v>BB Ki Vines</v>
      </c>
      <c r="D10" s="6" t="str">
        <v>BB KI VINES</v>
      </c>
      <c r="E10" s="6" t="str">
        <v>bb ki vines</v>
      </c>
      <c r="F10" s="6" t="str">
        <v>Bb Ki Vines</v>
      </c>
      <c r="G10" s="6">
        <v>11</v>
      </c>
    </row>
    <row r="11" spans="1:7">
      <c r="A11" s="6">
        <v>10</v>
      </c>
      <c r="B11" s="6" t="s">
        <v>54</v>
      </c>
      <c r="C11" s="6" t="str">
        <v>Technical Guruji</v>
      </c>
      <c r="D11" s="6" t="str">
        <v>TECHNICAL GURUJI</v>
      </c>
      <c r="E11" s="6" t="str">
        <v>technical guruji</v>
      </c>
      <c r="F11" s="6" t="str">
        <v>Technical Guruji</v>
      </c>
      <c r="G11" s="6">
        <v>16</v>
      </c>
    </row>
    <row r="12" spans="1:7">
      <c r="A12" s="6">
        <v>11</v>
      </c>
      <c r="B12" s="6" t="s">
        <v>55</v>
      </c>
      <c r="C12" s="6" t="str">
        <v>MrBeast</v>
      </c>
      <c r="D12" s="6" t="str">
        <v>MRBEAST</v>
      </c>
      <c r="E12" s="6" t="str">
        <v>mrbeast</v>
      </c>
      <c r="F12" s="6" t="str">
        <v>Mrbeast</v>
      </c>
      <c r="G12" s="6">
        <v>7</v>
      </c>
    </row>
    <row r="13" spans="1:7">
      <c r="A13" s="6">
        <v>12</v>
      </c>
      <c r="B13" s="6" t="s">
        <v>56</v>
      </c>
      <c r="C13" s="6" t="str">
        <v>PEwdiePie</v>
      </c>
      <c r="D13" s="6" t="str">
        <v>PEWDIEPIE</v>
      </c>
      <c r="E13" s="6" t="str">
        <v>pewdiepie</v>
      </c>
      <c r="F13" s="6" t="str">
        <v>Pewdiepie</v>
      </c>
      <c r="G13" s="6">
        <v>9</v>
      </c>
    </row>
    <row r="14" spans="1:7">
      <c r="A14" s="6">
        <v>13</v>
      </c>
      <c r="B14" s="6" t="s">
        <v>57</v>
      </c>
      <c r="C14" s="6" t="str">
        <v>5-minute CRAFTS</v>
      </c>
      <c r="D14" s="6" t="str">
        <v>5-MINUTE CRAFTS</v>
      </c>
      <c r="E14" s="6" t="str">
        <v>5-minute crafts</v>
      </c>
      <c r="F14" s="6" t="str">
        <v>5-Minute Crafts</v>
      </c>
      <c r="G14" s="6">
        <v>15</v>
      </c>
    </row>
    <row r="15" spans="1:7">
      <c r="A15" s="6">
        <v>14</v>
      </c>
      <c r="B15" s="6" t="s">
        <v>58</v>
      </c>
      <c r="C15" s="6" t="str">
        <v>likeNastia</v>
      </c>
      <c r="D15" s="6" t="str">
        <v>LIKENASTIA</v>
      </c>
      <c r="E15" s="6" t="str">
        <v>likenastia</v>
      </c>
      <c r="F15" s="6" t="str">
        <v>Likenastia</v>
      </c>
      <c r="G15" s="6">
        <v>10</v>
      </c>
    </row>
    <row r="16" spans="1:7">
      <c r="A16" s="6">
        <v>15</v>
      </c>
      <c r="B16" s="6" t="s">
        <v>59</v>
      </c>
      <c r="C16" s="6" t="str">
        <v>coComelon - Nursery rhymes</v>
      </c>
      <c r="D16" s="6" t="str">
        <v>COCOMELON - NURSERY RHYMES</v>
      </c>
      <c r="E16" s="6" t="str">
        <v>cocomelon - nursery rhymes</v>
      </c>
      <c r="F16" s="6" t="str">
        <v>Cocomelon - Nursery Rhymes</v>
      </c>
      <c r="G16" s="6">
        <v>26</v>
      </c>
    </row>
    <row r="17" spans="1:7">
      <c r="A17" s="6">
        <v>16</v>
      </c>
      <c r="B17" s="6" t="s">
        <v>60</v>
      </c>
      <c r="C17" s="6" t="str">
        <v>Canal Kondzilla</v>
      </c>
      <c r="D17" s="6" t="str">
        <v>CANAL KONDZILLA</v>
      </c>
      <c r="E17" s="6" t="str">
        <v>canal kondzilla</v>
      </c>
      <c r="F17" s="6" t="str">
        <v>Canal Kondzilla</v>
      </c>
      <c r="G17" s="6">
        <v>15</v>
      </c>
    </row>
    <row r="18" spans="1:7">
      <c r="A18" s="6">
        <v>17</v>
      </c>
      <c r="B18" s="6" t="s">
        <v>61</v>
      </c>
      <c r="C18" s="6" t="str">
        <v>kids D lana Show</v>
      </c>
      <c r="D18" s="6" t="str">
        <v>KIDS D LANA SHOW</v>
      </c>
      <c r="E18" s="6" t="str">
        <v>kids d lana show</v>
      </c>
      <c r="F18" s="6" t="str">
        <v>Kids D Lana Show</v>
      </c>
      <c r="G18" s="6">
        <v>16</v>
      </c>
    </row>
    <row r="19" spans="1:7">
      <c r="A19" s="6">
        <v>18</v>
      </c>
      <c r="B19" s="6" t="s">
        <v>62</v>
      </c>
      <c r="C19" s="6" t="str">
        <v>Badabun</v>
      </c>
      <c r="D19" s="6" t="str">
        <v>BADABUN</v>
      </c>
      <c r="E19" s="6" t="str">
        <v>badabun</v>
      </c>
      <c r="F19" s="6" t="str">
        <v>Badabun</v>
      </c>
      <c r="G19" s="6">
        <v>7</v>
      </c>
    </row>
    <row r="20" spans="1:7">
      <c r="A20" s="6">
        <v>19</v>
      </c>
      <c r="B20" s="6" t="s">
        <v>63</v>
      </c>
      <c r="C20" s="6" t="str">
        <v>VanossGaming</v>
      </c>
      <c r="D20" s="6" t="str">
        <v>VANOSSGAMING</v>
      </c>
      <c r="E20" s="6" t="str">
        <v>vanossgaming</v>
      </c>
      <c r="F20" s="6" t="str">
        <v>Vanossgaming</v>
      </c>
      <c r="G20" s="6">
        <v>12</v>
      </c>
    </row>
    <row r="21" spans="1:7">
      <c r="A21" s="6">
        <v>20</v>
      </c>
      <c r="B21" s="6" t="s">
        <v>64</v>
      </c>
      <c r="C21" s="6" t="str">
        <v>Markiplier</v>
      </c>
      <c r="D21" s="6" t="str">
        <v>MARKIPLIER</v>
      </c>
      <c r="E21" s="6" t="str">
        <v>markiplier</v>
      </c>
      <c r="F21" s="6" t="str">
        <v>Markiplier</v>
      </c>
      <c r="G21" s="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1837-A60C-406D-8669-4764BA7BA0B8}">
  <dimension ref="A1:S21"/>
  <sheetViews>
    <sheetView tabSelected="1" topLeftCell="A10" zoomScale="120" zoomScaleNormal="120" workbookViewId="0">
      <selection activeCell="E13" sqref="E13"/>
    </sheetView>
  </sheetViews>
  <sheetFormatPr defaultRowHeight="15"/>
  <cols>
    <col min="1" max="1" width="13.85546875" bestFit="1" customWidth="1"/>
    <col min="2" max="2" width="7.28515625" bestFit="1" customWidth="1"/>
    <col min="3" max="3" width="5.7109375" bestFit="1" customWidth="1"/>
    <col min="4" max="4" width="9.42578125" customWidth="1"/>
    <col min="5" max="5" width="11.28515625" bestFit="1" customWidth="1"/>
    <col min="6" max="6" width="14.7109375" bestFit="1" customWidth="1"/>
    <col min="7" max="7" width="9.5703125" bestFit="1" customWidth="1"/>
    <col min="10" max="10" width="13.7109375" bestFit="1" customWidth="1"/>
    <col min="11" max="11" width="15.5703125" customWidth="1"/>
    <col min="12" max="12" width="15.28515625" bestFit="1" customWidth="1"/>
    <col min="13" max="13" width="16.5703125" bestFit="1" customWidth="1"/>
    <col min="14" max="14" width="17.140625" bestFit="1" customWidth="1"/>
    <col min="15" max="15" width="14.85546875" bestFit="1" customWidth="1"/>
    <col min="16" max="16" width="15.5703125" bestFit="1" customWidth="1"/>
    <col min="17" max="18" width="21.28515625" bestFit="1" customWidth="1"/>
    <col min="19" max="19" width="25.85546875" bestFit="1" customWidth="1"/>
  </cols>
  <sheetData>
    <row r="1" spans="1:19" ht="15.75" thickBot="1">
      <c r="A1" s="7" t="s">
        <v>71</v>
      </c>
      <c r="B1" s="8"/>
      <c r="C1" s="8"/>
      <c r="D1" s="8"/>
      <c r="E1" s="8"/>
      <c r="F1" s="8"/>
      <c r="G1" s="9"/>
      <c r="I1" s="12"/>
      <c r="J1" s="16"/>
      <c r="K1" s="16"/>
      <c r="L1" s="16"/>
      <c r="M1" s="16"/>
      <c r="N1" s="16"/>
      <c r="O1" s="16"/>
      <c r="P1" s="16"/>
      <c r="Q1" s="16"/>
    </row>
    <row r="2" spans="1:19" ht="23.25" customHeight="1" thickBot="1">
      <c r="A2" s="10" t="s">
        <v>65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0" t="s">
        <v>72</v>
      </c>
      <c r="I2" s="15"/>
      <c r="J2" s="19" t="s">
        <v>82</v>
      </c>
      <c r="K2" s="19" t="s">
        <v>83</v>
      </c>
      <c r="L2" s="19" t="s">
        <v>84</v>
      </c>
      <c r="M2" s="19" t="s">
        <v>85</v>
      </c>
      <c r="N2" s="19" t="s">
        <v>86</v>
      </c>
      <c r="O2" s="19" t="s">
        <v>87</v>
      </c>
      <c r="P2" s="19" t="s">
        <v>88</v>
      </c>
      <c r="Q2" s="19" t="s">
        <v>99</v>
      </c>
      <c r="S2" s="20"/>
    </row>
    <row r="3" spans="1:19" ht="18" customHeight="1" thickBot="1">
      <c r="A3" s="6" t="s">
        <v>73</v>
      </c>
      <c r="B3" s="6">
        <v>54</v>
      </c>
      <c r="C3" s="6">
        <v>12</v>
      </c>
      <c r="D3" s="6">
        <v>45</v>
      </c>
      <c r="E3" s="6">
        <f>SUM(B3,C3,D3)</f>
        <v>111</v>
      </c>
      <c r="F3" s="6">
        <f>MAX(B3,C3,D3)</f>
        <v>54</v>
      </c>
      <c r="G3" s="6">
        <f>MIN(B3,C3,D3)</f>
        <v>12</v>
      </c>
      <c r="I3" s="15"/>
      <c r="J3" s="17" t="s">
        <v>79</v>
      </c>
      <c r="K3" s="17" t="s">
        <v>89</v>
      </c>
      <c r="L3" s="17">
        <v>800</v>
      </c>
      <c r="M3" s="17">
        <v>5</v>
      </c>
      <c r="N3" s="18">
        <f>SUM(L3:L12)</f>
        <v>1715</v>
      </c>
      <c r="O3" s="17">
        <v>100</v>
      </c>
      <c r="P3" s="18">
        <f>N3-O3</f>
        <v>1615</v>
      </c>
      <c r="Q3" s="3">
        <f>AVERAGE(N3:N12)</f>
        <v>739.5</v>
      </c>
    </row>
    <row r="4" spans="1:19" ht="15.75" thickBot="1">
      <c r="A4" s="6" t="s">
        <v>74</v>
      </c>
      <c r="B4" s="6">
        <v>56</v>
      </c>
      <c r="C4" s="6">
        <v>45</v>
      </c>
      <c r="D4" s="6">
        <v>65</v>
      </c>
      <c r="E4" s="6">
        <f t="shared" ref="E4:E8" si="0">SUM(B4,C4,D4)</f>
        <v>166</v>
      </c>
      <c r="F4" s="6">
        <f t="shared" ref="F4:F8" si="1">MAX(B4,C4,D4)</f>
        <v>65</v>
      </c>
      <c r="G4" s="6">
        <f t="shared" ref="G4:G8" si="2">MIN(B4,C4,D4)</f>
        <v>45</v>
      </c>
      <c r="I4" s="15"/>
      <c r="J4" s="17" t="s">
        <v>80</v>
      </c>
      <c r="K4" s="17" t="s">
        <v>90</v>
      </c>
      <c r="L4" s="17">
        <v>25</v>
      </c>
      <c r="M4" s="17">
        <v>10</v>
      </c>
      <c r="N4" s="18">
        <f t="shared" ref="N4:N12" si="3">SUM(L4:L13)</f>
        <v>915</v>
      </c>
      <c r="O4" s="17">
        <v>52</v>
      </c>
      <c r="P4" s="18">
        <f t="shared" ref="P4:P12" si="4">N4-O4</f>
        <v>863</v>
      </c>
      <c r="Q4" s="3">
        <f>AVERAGE(N4:N13)</f>
        <v>631.11111111111109</v>
      </c>
    </row>
    <row r="5" spans="1:19" ht="15.75" thickBot="1">
      <c r="A5" s="6" t="s">
        <v>75</v>
      </c>
      <c r="B5" s="6">
        <v>45</v>
      </c>
      <c r="C5" s="6">
        <v>89</v>
      </c>
      <c r="D5" s="6">
        <v>65</v>
      </c>
      <c r="E5" s="6">
        <f t="shared" si="0"/>
        <v>199</v>
      </c>
      <c r="F5" s="6">
        <f t="shared" si="1"/>
        <v>89</v>
      </c>
      <c r="G5" s="6">
        <f t="shared" si="2"/>
        <v>45</v>
      </c>
      <c r="I5" s="15"/>
      <c r="J5" s="17" t="s">
        <v>81</v>
      </c>
      <c r="K5" s="17" t="s">
        <v>90</v>
      </c>
      <c r="L5" s="17">
        <v>50</v>
      </c>
      <c r="M5" s="17">
        <v>8</v>
      </c>
      <c r="N5" s="18">
        <f t="shared" si="3"/>
        <v>890</v>
      </c>
      <c r="O5" s="17">
        <v>85</v>
      </c>
      <c r="P5" s="18">
        <f t="shared" si="4"/>
        <v>805</v>
      </c>
      <c r="Q5" s="3">
        <f>AVERAGE(N5:N14)</f>
        <v>595.625</v>
      </c>
    </row>
    <row r="6" spans="1:19" ht="15.75" thickBot="1">
      <c r="A6" s="6" t="s">
        <v>76</v>
      </c>
      <c r="B6" s="6">
        <v>85</v>
      </c>
      <c r="C6" s="6">
        <v>89</v>
      </c>
      <c r="D6" s="6">
        <v>85</v>
      </c>
      <c r="E6" s="6">
        <f t="shared" si="0"/>
        <v>259</v>
      </c>
      <c r="F6" s="6">
        <f t="shared" si="1"/>
        <v>89</v>
      </c>
      <c r="G6" s="6">
        <f t="shared" si="2"/>
        <v>85</v>
      </c>
      <c r="I6" s="15"/>
      <c r="J6" s="17" t="s">
        <v>91</v>
      </c>
      <c r="K6" s="17" t="s">
        <v>89</v>
      </c>
      <c r="L6" s="17">
        <v>200</v>
      </c>
      <c r="M6" s="17">
        <v>4</v>
      </c>
      <c r="N6" s="18">
        <f t="shared" si="3"/>
        <v>840</v>
      </c>
      <c r="O6" s="17">
        <v>10</v>
      </c>
      <c r="P6" s="18">
        <f t="shared" si="4"/>
        <v>830</v>
      </c>
      <c r="Q6" s="3">
        <f>AVERAGE(N6:N15)</f>
        <v>553.57142857142856</v>
      </c>
    </row>
    <row r="7" spans="1:19" ht="15.75" thickBot="1">
      <c r="A7" s="6" t="s">
        <v>77</v>
      </c>
      <c r="B7" s="6">
        <v>20</v>
      </c>
      <c r="C7" s="6">
        <v>85</v>
      </c>
      <c r="D7" s="6">
        <v>56</v>
      </c>
      <c r="E7" s="6">
        <f t="shared" si="0"/>
        <v>161</v>
      </c>
      <c r="F7" s="6">
        <f t="shared" si="1"/>
        <v>85</v>
      </c>
      <c r="G7" s="6">
        <f t="shared" si="2"/>
        <v>20</v>
      </c>
      <c r="I7" s="15"/>
      <c r="J7" s="17" t="s">
        <v>92</v>
      </c>
      <c r="K7" s="17" t="s">
        <v>93</v>
      </c>
      <c r="L7" s="17">
        <v>150</v>
      </c>
      <c r="M7" s="17">
        <v>6</v>
      </c>
      <c r="N7" s="18">
        <f t="shared" si="3"/>
        <v>640</v>
      </c>
      <c r="O7" s="17">
        <v>15</v>
      </c>
      <c r="P7" s="18">
        <f t="shared" si="4"/>
        <v>625</v>
      </c>
      <c r="Q7" s="3">
        <f>AVERAGE(N7:N16)</f>
        <v>505.83333333333331</v>
      </c>
    </row>
    <row r="8" spans="1:19" ht="15.75" thickBot="1">
      <c r="A8" s="6" t="s">
        <v>78</v>
      </c>
      <c r="B8" s="6">
        <v>50</v>
      </c>
      <c r="C8" s="6">
        <v>50</v>
      </c>
      <c r="D8" s="6">
        <v>44</v>
      </c>
      <c r="E8" s="6">
        <f t="shared" si="0"/>
        <v>144</v>
      </c>
      <c r="F8" s="6">
        <f t="shared" si="1"/>
        <v>50</v>
      </c>
      <c r="G8" s="6">
        <f t="shared" si="2"/>
        <v>44</v>
      </c>
      <c r="I8" s="15"/>
      <c r="J8" s="17" t="s">
        <v>94</v>
      </c>
      <c r="K8" s="17" t="s">
        <v>93</v>
      </c>
      <c r="L8" s="17">
        <v>300</v>
      </c>
      <c r="M8" s="17">
        <v>2</v>
      </c>
      <c r="N8" s="18">
        <f t="shared" si="3"/>
        <v>490</v>
      </c>
      <c r="O8" s="17">
        <v>16</v>
      </c>
      <c r="P8" s="18">
        <f t="shared" si="4"/>
        <v>474</v>
      </c>
      <c r="Q8" s="3">
        <f>AVERAGE(N8:N17)</f>
        <v>479</v>
      </c>
    </row>
    <row r="9" spans="1:19" ht="17.25" customHeight="1" thickBot="1">
      <c r="I9" s="15"/>
      <c r="J9" s="17" t="s">
        <v>98</v>
      </c>
      <c r="K9" s="17" t="s">
        <v>90</v>
      </c>
      <c r="L9" s="17">
        <v>60</v>
      </c>
      <c r="M9" s="17">
        <v>12</v>
      </c>
      <c r="N9" s="18">
        <f>SUM(L3:L18)</f>
        <v>1715</v>
      </c>
      <c r="O9" s="17">
        <v>78</v>
      </c>
      <c r="P9" s="18">
        <f t="shared" si="4"/>
        <v>1637</v>
      </c>
      <c r="Q9" s="3">
        <f>AVERAGE(N9:N18)</f>
        <v>476.25</v>
      </c>
    </row>
    <row r="10" spans="1:19" ht="15.75" thickBot="1">
      <c r="A10" s="12"/>
      <c r="B10" s="12"/>
      <c r="C10" s="12"/>
      <c r="D10" s="12"/>
      <c r="E10" s="12"/>
      <c r="F10" s="12"/>
      <c r="G10" s="12"/>
      <c r="H10" s="12"/>
      <c r="I10" s="15"/>
      <c r="J10" s="17" t="s">
        <v>95</v>
      </c>
      <c r="K10" s="17" t="s">
        <v>89</v>
      </c>
      <c r="L10" s="17">
        <v>80</v>
      </c>
      <c r="M10" s="17">
        <v>7</v>
      </c>
      <c r="N10" s="18">
        <f t="shared" si="3"/>
        <v>130</v>
      </c>
      <c r="O10" s="17">
        <v>21</v>
      </c>
      <c r="P10" s="18">
        <f t="shared" si="4"/>
        <v>109</v>
      </c>
      <c r="Q10" s="3">
        <f>AVERAGE(N10:N19)</f>
        <v>63.333333333333336</v>
      </c>
    </row>
    <row r="11" spans="1:19" ht="15.75" thickBot="1">
      <c r="A11" s="12"/>
      <c r="B11" s="12"/>
      <c r="C11" s="12"/>
      <c r="D11" s="12"/>
      <c r="E11" s="12"/>
      <c r="F11" s="12"/>
      <c r="G11" s="12"/>
      <c r="H11" s="12"/>
      <c r="I11" s="15"/>
      <c r="J11" s="17" t="s">
        <v>96</v>
      </c>
      <c r="K11" s="17" t="s">
        <v>93</v>
      </c>
      <c r="L11" s="17">
        <v>40</v>
      </c>
      <c r="M11" s="17">
        <v>15</v>
      </c>
      <c r="N11" s="18">
        <f t="shared" si="3"/>
        <v>50</v>
      </c>
      <c r="O11" s="17">
        <v>2</v>
      </c>
      <c r="P11" s="18">
        <f t="shared" si="4"/>
        <v>48</v>
      </c>
      <c r="Q11" s="3">
        <f>AVERAGE(N11:N20)</f>
        <v>30</v>
      </c>
    </row>
    <row r="12" spans="1:19" ht="15.75" thickBot="1">
      <c r="A12" s="12"/>
      <c r="B12" s="11"/>
      <c r="C12" s="11"/>
      <c r="D12" s="11"/>
      <c r="E12" s="11"/>
      <c r="F12" s="13"/>
      <c r="G12" s="11"/>
      <c r="H12" s="13"/>
      <c r="I12" s="15"/>
      <c r="J12" s="17" t="s">
        <v>97</v>
      </c>
      <c r="K12" s="17" t="s">
        <v>90</v>
      </c>
      <c r="L12" s="17">
        <v>10</v>
      </c>
      <c r="M12" s="17">
        <v>25</v>
      </c>
      <c r="N12" s="18">
        <f t="shared" si="3"/>
        <v>10</v>
      </c>
      <c r="O12" s="17">
        <v>45</v>
      </c>
      <c r="P12" s="18">
        <f t="shared" si="4"/>
        <v>-35</v>
      </c>
      <c r="Q12" s="3">
        <f>AVERAGE(N12:N21)</f>
        <v>10</v>
      </c>
    </row>
    <row r="13" spans="1:19" ht="15.75" thickBot="1">
      <c r="A13" s="12"/>
      <c r="B13" s="11"/>
      <c r="C13" s="11"/>
      <c r="D13" s="11"/>
      <c r="E13" s="11"/>
      <c r="F13" s="13"/>
      <c r="G13" s="11"/>
      <c r="H13" s="13"/>
      <c r="I13" s="13"/>
    </row>
    <row r="14" spans="1:19" ht="15.75" thickBot="1">
      <c r="A14" s="12"/>
      <c r="B14" s="11"/>
      <c r="C14" s="11"/>
      <c r="D14" s="11"/>
      <c r="E14" s="11"/>
      <c r="F14" s="13"/>
      <c r="G14" s="11"/>
      <c r="H14" s="13"/>
      <c r="I14" s="13"/>
    </row>
    <row r="15" spans="1:19" ht="15.75" thickBot="1">
      <c r="A15" s="12"/>
      <c r="B15" s="11"/>
      <c r="C15" s="11"/>
      <c r="D15" s="11"/>
      <c r="E15" s="11"/>
      <c r="F15" s="14"/>
      <c r="G15" s="11"/>
      <c r="H15" s="14"/>
      <c r="I15" s="14"/>
    </row>
    <row r="16" spans="1:19" ht="15.75" thickBot="1">
      <c r="A16" s="12"/>
      <c r="B16" s="11"/>
      <c r="C16" s="11"/>
      <c r="D16" s="11"/>
      <c r="E16" s="11"/>
      <c r="F16" s="14"/>
      <c r="G16" s="11"/>
      <c r="H16" s="14"/>
      <c r="I16" s="14"/>
    </row>
    <row r="17" spans="1:9" ht="15.75" thickBot="1">
      <c r="A17" s="12"/>
      <c r="B17" s="11"/>
      <c r="C17" s="11"/>
      <c r="D17" s="11"/>
      <c r="E17" s="11"/>
      <c r="F17" s="14"/>
      <c r="G17" s="11"/>
      <c r="H17" s="14"/>
      <c r="I17" s="14"/>
    </row>
    <row r="18" spans="1:9" ht="15.75" thickBot="1">
      <c r="A18" s="12"/>
      <c r="B18" s="11"/>
      <c r="C18" s="11"/>
      <c r="D18" s="11"/>
      <c r="E18" s="11"/>
      <c r="F18" s="14"/>
      <c r="G18" s="11"/>
      <c r="H18" s="14"/>
      <c r="I18" s="14"/>
    </row>
    <row r="19" spans="1:9" ht="15.75" thickBot="1">
      <c r="A19" s="12"/>
      <c r="B19" s="11"/>
      <c r="C19" s="11"/>
      <c r="D19" s="11"/>
      <c r="E19" s="11"/>
      <c r="F19" s="14"/>
      <c r="G19" s="11"/>
      <c r="H19" s="14"/>
      <c r="I19" s="14"/>
    </row>
    <row r="20" spans="1:9" ht="15.75" thickBot="1">
      <c r="A20" s="12"/>
      <c r="B20" s="11"/>
      <c r="C20" s="11"/>
      <c r="D20" s="11"/>
      <c r="E20" s="11"/>
      <c r="F20" s="14"/>
      <c r="G20" s="11"/>
      <c r="H20" s="14"/>
      <c r="I20" s="14"/>
    </row>
    <row r="21" spans="1:9" ht="15.75" thickBot="1">
      <c r="A21" s="12"/>
      <c r="B21" s="11"/>
      <c r="C21" s="11"/>
      <c r="D21" s="11"/>
      <c r="E21" s="11"/>
      <c r="F21" s="14"/>
      <c r="G21" s="11"/>
      <c r="H21" s="14"/>
      <c r="I21" s="14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EA87-523E-43A2-8ADC-F81CEA2359E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Interfaces</vt:lpstr>
      <vt:lpstr>Insert Data</vt:lpstr>
      <vt:lpstr>Calculation</vt:lpstr>
      <vt:lpstr>Basic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2026-09-01T12:24:34Z</dcterms:modified>
</cp:coreProperties>
</file>