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1\Day-04\"/>
    </mc:Choice>
  </mc:AlternateContent>
  <xr:revisionPtr revIDLastSave="0" documentId="13_ncr:1_{96B3B115-9816-4DBE-A78A-352E8D49B6C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y-4-Practice" sheetId="1" r:id="rId1"/>
    <sheet name="sheet" sheetId="2" r:id="rId2"/>
  </sheets>
  <definedNames>
    <definedName name="_xlnm._FilterDatabase" localSheetId="0" hidden="1">'Day-4-Practice'!$A$1:$M$11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7" i="1" a="1"/>
  <c r="L3" i="1" a="1"/>
  <c r="L4" i="1" a="1"/>
  <c r="L5" i="1" a="1"/>
  <c r="L6" i="1" a="1"/>
  <c r="L8" i="1" a="1"/>
  <c r="L9" i="1" a="1"/>
  <c r="L10" i="1" a="1"/>
  <c r="L11" i="1" a="1"/>
  <c r="L2" i="1" a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C16" i="1" s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C15" i="1" l="1"/>
  <c r="C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<sst xmlns="http://schemas.openxmlformats.org/spreadsheetml/2006/main" count="51" uniqueCount="50">
  <si>
    <t>Employee</t>
  </si>
  <si>
    <t>Sales</t>
  </si>
  <si>
    <t>Target</t>
  </si>
  <si>
    <t>Attendance</t>
  </si>
  <si>
    <t>Errors</t>
  </si>
  <si>
    <t>Rating</t>
  </si>
  <si>
    <t>Experience</t>
  </si>
  <si>
    <t>Ahmed</t>
  </si>
  <si>
    <t>Rahul</t>
  </si>
  <si>
    <t>Arman</t>
  </si>
  <si>
    <t>Zoya</t>
  </si>
  <si>
    <t>Sara</t>
  </si>
  <si>
    <t>Ali</t>
  </si>
  <si>
    <t>Hamza</t>
  </si>
  <si>
    <t>Ayesha</t>
  </si>
  <si>
    <t>Sameer</t>
  </si>
  <si>
    <t>Fatima</t>
  </si>
  <si>
    <t>Achieve</t>
  </si>
  <si>
    <t>Performar</t>
  </si>
  <si>
    <t>Risk</t>
  </si>
  <si>
    <t>Quality Check</t>
  </si>
  <si>
    <t>Grade</t>
  </si>
  <si>
    <t>Bonus_Eligibilty</t>
  </si>
  <si>
    <t>Promotion</t>
  </si>
  <si>
    <t>Error_Handling</t>
  </si>
  <si>
    <t>Counting_Practice</t>
  </si>
  <si>
    <t>Target &amp; Achievment</t>
  </si>
  <si>
    <t>Risk Flag</t>
  </si>
  <si>
    <t>High Performer But Error more then 0</t>
  </si>
  <si>
    <t>DAY 04 — REVISION &amp; PRACTICAL ANALYSIS</t>
  </si>
  <si>
    <t>IF</t>
  </si>
  <si>
    <t>Used to return different results based on a condition.</t>
  </si>
  <si>
    <t>AND</t>
  </si>
  <si>
    <t>Returns TRUE when all conditions are TRUE.</t>
  </si>
  <si>
    <t>OR</t>
  </si>
  <si>
    <t>Returns TRUE when at least one condition is TRUE.</t>
  </si>
  <si>
    <t>NOT</t>
  </si>
  <si>
    <t>Reverses TRUE/FALSE.</t>
  </si>
  <si>
    <t>IFS</t>
  </si>
  <si>
    <t>Checks multiple conditions in sequence.</t>
  </si>
  <si>
    <t>IFERROR</t>
  </si>
  <si>
    <t>Returns an alternative result when a formula produces an error.</t>
  </si>
  <si>
    <t>Nested IF</t>
  </si>
  <si>
    <t>An IF function placed inside another IF function.</t>
  </si>
  <si>
    <t>COUNTIF</t>
  </si>
  <si>
    <t>Counts cells based on one condition.</t>
  </si>
  <si>
    <t>COUNTIFS</t>
  </si>
  <si>
    <t>Counts cells based on multiple conditions.</t>
  </si>
  <si>
    <t>Analyst Learning:</t>
  </si>
  <si>
    <t>Business problem → Logic → Formula → Result →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</si>
</sst>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0" borderId="0" xfId="0" applyAlignment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6"/>
  <sheetViews>
    <sheetView zoomScaleNormal="100" workbookViewId="0">
      <selection activeCell="I2" sqref="I2"/>
    </sheetView>
  </sheetViews>
  <sheetFormatPr defaultRowHeight="15" x14ac:dyDescent="0.25"/>
  <cols>
    <col min="1" max="1" width="9.85546875" customWidth="1"/>
    <col min="2" max="2" width="11.7109375" customWidth="1"/>
    <col min="4" max="4" width="11.5703125" customWidth="1"/>
    <col min="7" max="7" width="11.5703125" customWidth="1"/>
    <col min="8" max="8" width="13.140625" bestFit="1" customWidth="1"/>
    <col min="9" max="9" width="14.7109375" bestFit="1" customWidth="1"/>
    <col min="11" max="11" width="13.28515625" bestFit="1" customWidth="1"/>
    <col min="13" max="13" width="15.42578125" bestFit="1" customWidth="1"/>
    <col min="14" max="14" width="10.42578125" bestFit="1" customWidth="1"/>
    <col min="15" max="15" width="14.28515625" bestFit="1" customWidth="1"/>
    <col min="16" max="16" width="34.7109375" bestFit="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17</v>
      </c>
      <c r="I1" s="3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6" t="s">
        <v>23</v>
      </c>
      <c r="O1" s="6" t="s">
        <v>24</v>
      </c>
      <c r="P1" s="13" t="s">
        <v>28</v>
      </c>
      <c r="R1" s="13"/>
      <c r="S1" s="13"/>
      <c r="T1" s="13"/>
    </row>
    <row r="2" spans="1:20" x14ac:dyDescent="0.25">
      <c r="A2" s="1" t="s">
        <v>7</v>
      </c>
      <c r="B2" s="1">
        <v>125000</v>
      </c>
      <c r="C2" s="1">
        <v>100000</v>
      </c>
      <c r="D2" s="2">
        <v>0.96</v>
      </c>
      <c r="E2" s="1">
        <v>0</v>
      </c>
      <c r="F2" s="1">
        <v>4.8</v>
      </c>
      <c r="G2" s="1">
        <v>3</v>
      </c>
      <c r="H2" s="4" t="str">
        <f>IF(B2&gt;=C2,"Achieved","Not Achieved")</f>
        <v>Achieved</v>
      </c>
      <c r="I2" s="4" t="str">
        <f>IF(AND(B2*1.2&gt;C2,D2&gt;90%),"High Performer","Normal")</f>
        <v>High Performer</v>
      </c>
      <c r="J2" s="4" t="str">
        <f>IF(OR(D2&lt;85%,E2=2),"Risk","Safe")</f>
        <v>Safe</v>
      </c>
      <c r="K2" s="4" t="str">
        <f>IF(E2=0,"Clean","Issues")</f>
        <v>Clean</v>
      </c>
      <c r="L2" s="4" t="str" cm="1">
        <f t="array" ref="L2">_xlfn.IFS(B2*120%&gt;=C2,"A",B2*100%&gt;=C2,"B",B2*80%&gt;=C2,"C",B2*80%&lt;C2,"D")</f>
        <v>A</v>
      </c>
      <c r="M2" s="4" t="str">
        <f>IF(AND(B2&gt;=C2,D2&gt;90%,E2=0),"Eligibile","Not Eligibile")</f>
        <v>Eligibile</v>
      </c>
      <c r="N2" t="str">
        <f>IF(OR(B2*120%&gt;C2,F2&gt;=4.8),"Yes","NO")</f>
        <v>Yes</v>
      </c>
      <c r="O2" t="str">
        <f>IFERROR(B2/E2,"No Error")</f>
        <v>No Error</v>
      </c>
      <c r="P2" t="str">
        <f>IF(E2&gt;0,A2,"No here")</f>
        <v>No here</v>
      </c>
    </row>
    <row r="3" spans="1:20" hidden="1" x14ac:dyDescent="0.25">
      <c r="A3" s="1" t="s">
        <v>8</v>
      </c>
      <c r="B3" s="1">
        <v>82000</v>
      </c>
      <c r="C3" s="1">
        <v>100000</v>
      </c>
      <c r="D3" s="2">
        <v>0.91</v>
      </c>
      <c r="E3" s="1">
        <v>1</v>
      </c>
      <c r="F3" s="1">
        <v>4.0999999999999996</v>
      </c>
      <c r="G3" s="1">
        <v>2</v>
      </c>
      <c r="H3" s="4" t="str">
        <f t="shared" ref="H3:H11" si="0">IF(B3&gt;=C3,"Achieved","Not Achieved")</f>
        <v>Not Achieved</v>
      </c>
      <c r="I3" s="4" t="str">
        <f t="shared" ref="I3:I11" si="1">IF(AND(B3*1.2&gt;C3,D3&gt;90%),"High Performer","Normal")</f>
        <v>Normal</v>
      </c>
      <c r="J3" s="4" t="str">
        <f t="shared" ref="J3:J11" si="2">IF(OR(D3&lt;85%,E3=2),"Risk","Safe")</f>
        <v>Safe</v>
      </c>
      <c r="K3" s="4" t="str">
        <f t="shared" ref="K3:K11" si="3">IF(E3=0,"Clean","Issues")</f>
        <v>Issues</v>
      </c>
      <c r="L3" s="4" t="str" cm="1">
        <f t="array" ref="L3">_xlfn.IFS(B3*120%&gt;=C3,"A",B3*100%&gt;=C3,"B",B3*80%&gt;=C3,"C",B3*80%&lt;C3,"D")</f>
        <v>D</v>
      </c>
      <c r="M3" s="4" t="str">
        <f t="shared" ref="M3:M11" si="4">IF(AND(B3&gt;=C3,D3&gt;90%,E3=0),"Eligibile","Not Eligibile")</f>
        <v>Not Eligibile</v>
      </c>
      <c r="N3" t="str">
        <f t="shared" ref="N3:N11" si="5">IF(OR(B3*120%&gt;C3,F3&gt;=4.8),"Yes","NO")</f>
        <v>NO</v>
      </c>
      <c r="O3">
        <f t="shared" ref="O3:O11" si="6">IFERROR(B3/E3,"No Error")</f>
        <v>82000</v>
      </c>
      <c r="P3" t="str">
        <f t="shared" ref="P3:P11" si="7">IF(E3&gt;0,A3,"No here")</f>
        <v>Rahul</v>
      </c>
    </row>
    <row r="4" spans="1:20" x14ac:dyDescent="0.25">
      <c r="A4" s="1" t="s">
        <v>9</v>
      </c>
      <c r="B4" s="1">
        <v>155000</v>
      </c>
      <c r="C4" s="1">
        <v>120000</v>
      </c>
      <c r="D4" s="2">
        <v>0.97</v>
      </c>
      <c r="E4" s="1">
        <v>0</v>
      </c>
      <c r="F4" s="1">
        <v>4.9000000000000004</v>
      </c>
      <c r="G4" s="1">
        <v>4</v>
      </c>
      <c r="H4" s="4" t="str">
        <f t="shared" si="0"/>
        <v>Achieved</v>
      </c>
      <c r="I4" s="4" t="str">
        <f t="shared" si="1"/>
        <v>High Performer</v>
      </c>
      <c r="J4" s="4" t="str">
        <f t="shared" si="2"/>
        <v>Safe</v>
      </c>
      <c r="K4" s="4" t="str">
        <f t="shared" si="3"/>
        <v>Clean</v>
      </c>
      <c r="L4" s="4" t="str" cm="1">
        <f t="array" ref="L4">_xlfn.IFS(B4*120%&gt;=C4,"A",B4*100%&gt;=C4,"B",B4*80%&gt;=C4,"C",B4*80%&lt;C4,"D")</f>
        <v>A</v>
      </c>
      <c r="M4" s="4" t="str">
        <f t="shared" si="4"/>
        <v>Eligibile</v>
      </c>
      <c r="N4" t="str">
        <f t="shared" si="5"/>
        <v>Yes</v>
      </c>
      <c r="O4" t="str">
        <f t="shared" si="6"/>
        <v>No Error</v>
      </c>
      <c r="P4" t="str">
        <f t="shared" si="7"/>
        <v>No here</v>
      </c>
    </row>
    <row r="5" spans="1:20" hidden="1" x14ac:dyDescent="0.25">
      <c r="A5" s="1" t="s">
        <v>10</v>
      </c>
      <c r="B5" s="1">
        <v>95000</v>
      </c>
      <c r="C5" s="1">
        <v>90000</v>
      </c>
      <c r="D5" s="2">
        <v>0.87</v>
      </c>
      <c r="E5" s="1">
        <v>2</v>
      </c>
      <c r="F5" s="1">
        <v>4.4000000000000004</v>
      </c>
      <c r="G5" s="1">
        <v>3</v>
      </c>
      <c r="H5" s="4" t="str">
        <f t="shared" si="0"/>
        <v>Achieved</v>
      </c>
      <c r="I5" s="4" t="str">
        <f t="shared" si="1"/>
        <v>Normal</v>
      </c>
      <c r="J5" s="4" t="str">
        <f t="shared" si="2"/>
        <v>Risk</v>
      </c>
      <c r="K5" s="4" t="str">
        <f t="shared" si="3"/>
        <v>Issues</v>
      </c>
      <c r="L5" s="4" t="str" cm="1">
        <f t="array" ref="L5">_xlfn.IFS(B5*120%&gt;=C5,"A",B5*100%&gt;=C5,"B",B5*80%&gt;=C5,"C",B5*80%&lt;C5,"D")</f>
        <v>A</v>
      </c>
      <c r="M5" s="4" t="str">
        <f t="shared" si="4"/>
        <v>Not Eligibile</v>
      </c>
      <c r="N5" t="str">
        <f t="shared" si="5"/>
        <v>Yes</v>
      </c>
      <c r="O5">
        <f t="shared" si="6"/>
        <v>47500</v>
      </c>
      <c r="P5" t="str">
        <f t="shared" si="7"/>
        <v>Zoya</v>
      </c>
    </row>
    <row r="6" spans="1:20" hidden="1" x14ac:dyDescent="0.25">
      <c r="A6" s="1" t="s">
        <v>11</v>
      </c>
      <c r="B6" s="1">
        <v>72000</v>
      </c>
      <c r="C6" s="1">
        <v>100000</v>
      </c>
      <c r="D6" s="2">
        <v>0.82</v>
      </c>
      <c r="E6" s="1">
        <v>3</v>
      </c>
      <c r="F6" s="1">
        <v>3.8</v>
      </c>
      <c r="G6" s="1">
        <v>1</v>
      </c>
      <c r="H6" s="4" t="str">
        <f t="shared" si="0"/>
        <v>Not Achieved</v>
      </c>
      <c r="I6" s="4" t="str">
        <f t="shared" si="1"/>
        <v>Normal</v>
      </c>
      <c r="J6" s="4" t="str">
        <f t="shared" si="2"/>
        <v>Risk</v>
      </c>
      <c r="K6" s="4" t="str">
        <f t="shared" si="3"/>
        <v>Issues</v>
      </c>
      <c r="L6" s="4" t="str" cm="1">
        <f t="array" ref="L6">_xlfn.IFS(B6*120%&gt;=C6,"A",B6*100%&gt;=C6,"B",B6*80%&gt;=C6,"C",B6*80%&lt;C6,"D")</f>
        <v>D</v>
      </c>
      <c r="M6" s="4" t="str">
        <f t="shared" si="4"/>
        <v>Not Eligibile</v>
      </c>
      <c r="N6" t="str">
        <f t="shared" si="5"/>
        <v>NO</v>
      </c>
      <c r="O6">
        <f t="shared" si="6"/>
        <v>24000</v>
      </c>
      <c r="P6" t="str">
        <f t="shared" si="7"/>
        <v>Sara</v>
      </c>
    </row>
    <row r="7" spans="1:20" x14ac:dyDescent="0.25">
      <c r="A7" s="1" t="s">
        <v>12</v>
      </c>
      <c r="B7" s="1">
        <v>115000</v>
      </c>
      <c r="C7" s="1">
        <v>100000</v>
      </c>
      <c r="D7" s="2">
        <v>0.94</v>
      </c>
      <c r="E7" s="1">
        <v>0</v>
      </c>
      <c r="F7" s="1">
        <v>4.5999999999999996</v>
      </c>
      <c r="G7" s="1">
        <v>5</v>
      </c>
      <c r="H7" s="4" t="str">
        <f t="shared" si="0"/>
        <v>Achieved</v>
      </c>
      <c r="I7" s="4" t="str">
        <f t="shared" si="1"/>
        <v>High Performer</v>
      </c>
      <c r="J7" s="4" t="str">
        <f t="shared" si="2"/>
        <v>Safe</v>
      </c>
      <c r="K7" s="4" t="str">
        <f t="shared" si="3"/>
        <v>Clean</v>
      </c>
      <c r="L7" s="4" t="str" cm="1">
        <f t="array" ref="L7">_xlfn.IFS(B7*120%&gt;=C7,"A",B7*100%&gt;=C7,"B",B7*80%&gt;=C7,"C",B7*80%&lt;C7,"D")</f>
        <v>A</v>
      </c>
      <c r="M7" s="4" t="str">
        <f t="shared" si="4"/>
        <v>Eligibile</v>
      </c>
      <c r="N7" t="str">
        <f t="shared" si="5"/>
        <v>Yes</v>
      </c>
      <c r="O7" t="str">
        <f t="shared" si="6"/>
        <v>No Error</v>
      </c>
      <c r="P7" t="str">
        <f t="shared" si="7"/>
        <v>No here</v>
      </c>
    </row>
    <row r="8" spans="1:20" x14ac:dyDescent="0.25">
      <c r="A8" s="1" t="s">
        <v>13</v>
      </c>
      <c r="B8" s="1">
        <v>140000</v>
      </c>
      <c r="C8" s="1">
        <v>150000</v>
      </c>
      <c r="D8" s="2">
        <v>0.96</v>
      </c>
      <c r="E8" s="1">
        <v>1</v>
      </c>
      <c r="F8" s="1">
        <v>4.7</v>
      </c>
      <c r="G8" s="1">
        <v>4</v>
      </c>
      <c r="H8" s="4" t="str">
        <f t="shared" si="0"/>
        <v>Not Achieved</v>
      </c>
      <c r="I8" s="4" t="str">
        <f t="shared" si="1"/>
        <v>High Performer</v>
      </c>
      <c r="J8" s="4" t="str">
        <f t="shared" si="2"/>
        <v>Safe</v>
      </c>
      <c r="K8" s="4" t="str">
        <f t="shared" si="3"/>
        <v>Issues</v>
      </c>
      <c r="L8" s="4" t="str" cm="1">
        <f t="array" ref="L8">_xlfn.IFS(B8*120%&gt;=C8,"A",B8*100%&gt;=C8,"B",B8*80%&gt;=C8,"C",B8*80%&lt;C8,"D")</f>
        <v>A</v>
      </c>
      <c r="M8" s="4" t="str">
        <f t="shared" si="4"/>
        <v>Not Eligibile</v>
      </c>
      <c r="N8" t="str">
        <f t="shared" si="5"/>
        <v>Yes</v>
      </c>
      <c r="O8">
        <f t="shared" si="6"/>
        <v>140000</v>
      </c>
      <c r="P8" t="str">
        <f t="shared" si="7"/>
        <v>Hamza</v>
      </c>
    </row>
    <row r="9" spans="1:20" x14ac:dyDescent="0.25">
      <c r="A9" s="1" t="s">
        <v>14</v>
      </c>
      <c r="B9" s="1">
        <v>185000</v>
      </c>
      <c r="C9" s="1">
        <v>150000</v>
      </c>
      <c r="D9" s="2">
        <v>0.98</v>
      </c>
      <c r="E9" s="1">
        <v>0</v>
      </c>
      <c r="F9" s="1">
        <v>4.9000000000000004</v>
      </c>
      <c r="G9" s="1">
        <v>6</v>
      </c>
      <c r="H9" s="4" t="str">
        <f t="shared" si="0"/>
        <v>Achieved</v>
      </c>
      <c r="I9" s="4" t="str">
        <f t="shared" si="1"/>
        <v>High Performer</v>
      </c>
      <c r="J9" s="4" t="str">
        <f t="shared" si="2"/>
        <v>Safe</v>
      </c>
      <c r="K9" s="4" t="str">
        <f t="shared" si="3"/>
        <v>Clean</v>
      </c>
      <c r="L9" s="4" t="str" cm="1">
        <f t="array" ref="L9">_xlfn.IFS(B9*120%&gt;=C9,"A",B9*100%&gt;=C9,"B",B9*80%&gt;=C9,"C",B9*80%&lt;C9,"D")</f>
        <v>A</v>
      </c>
      <c r="M9" s="4" t="str">
        <f t="shared" si="4"/>
        <v>Eligibile</v>
      </c>
      <c r="N9" t="str">
        <f t="shared" si="5"/>
        <v>Yes</v>
      </c>
      <c r="O9" t="str">
        <f t="shared" si="6"/>
        <v>No Error</v>
      </c>
      <c r="P9" t="str">
        <f t="shared" si="7"/>
        <v>No here</v>
      </c>
    </row>
    <row r="10" spans="1:20" hidden="1" x14ac:dyDescent="0.25">
      <c r="A10" s="1" t="s">
        <v>15</v>
      </c>
      <c r="B10" s="1">
        <v>105000</v>
      </c>
      <c r="C10" s="1">
        <v>100000</v>
      </c>
      <c r="D10" s="2">
        <v>0.89</v>
      </c>
      <c r="E10" s="1">
        <v>2</v>
      </c>
      <c r="F10" s="1">
        <v>4.2</v>
      </c>
      <c r="G10" s="1">
        <v>2</v>
      </c>
      <c r="H10" s="4" t="str">
        <f t="shared" si="0"/>
        <v>Achieved</v>
      </c>
      <c r="I10" s="4" t="str">
        <f t="shared" si="1"/>
        <v>Normal</v>
      </c>
      <c r="J10" s="4" t="str">
        <f t="shared" si="2"/>
        <v>Risk</v>
      </c>
      <c r="K10" s="4" t="str">
        <f t="shared" si="3"/>
        <v>Issues</v>
      </c>
      <c r="L10" s="4" t="str" cm="1">
        <f t="array" ref="L10">_xlfn.IFS(B10*120%&gt;=C10,"A",B10*100%&gt;=C10,"B",B10*80%&gt;=C10,"C",B10*80%&lt;C10,"D")</f>
        <v>A</v>
      </c>
      <c r="M10" s="4" t="str">
        <f t="shared" si="4"/>
        <v>Not Eligibile</v>
      </c>
      <c r="N10" t="str">
        <f t="shared" si="5"/>
        <v>Yes</v>
      </c>
      <c r="O10">
        <f t="shared" si="6"/>
        <v>52500</v>
      </c>
      <c r="P10" t="str">
        <f t="shared" si="7"/>
        <v>Sameer</v>
      </c>
    </row>
    <row r="11" spans="1:20" x14ac:dyDescent="0.25">
      <c r="A11" s="1" t="s">
        <v>16</v>
      </c>
      <c r="B11" s="1">
        <v>90000</v>
      </c>
      <c r="C11" s="1">
        <v>100000</v>
      </c>
      <c r="D11" s="2">
        <v>0.93</v>
      </c>
      <c r="E11" s="1">
        <v>0</v>
      </c>
      <c r="F11" s="1">
        <v>4.5</v>
      </c>
      <c r="G11" s="1">
        <v>3</v>
      </c>
      <c r="H11" s="4" t="str">
        <f t="shared" si="0"/>
        <v>Not Achieved</v>
      </c>
      <c r="I11" s="4" t="str">
        <f t="shared" si="1"/>
        <v>High Performer</v>
      </c>
      <c r="J11" s="4" t="str">
        <f t="shared" si="2"/>
        <v>Safe</v>
      </c>
      <c r="K11" s="4" t="str">
        <f t="shared" si="3"/>
        <v>Clean</v>
      </c>
      <c r="L11" s="4" t="str" cm="1">
        <f t="array" ref="L11">_xlfn.IFS(B11*120%&gt;=C11,"A",B11*100%&gt;=C11,"B",B11*80%&gt;=C11,"C",B11*80%&lt;C11,"D")</f>
        <v>A</v>
      </c>
      <c r="M11" s="4" t="str">
        <f t="shared" si="4"/>
        <v>Not Eligibile</v>
      </c>
      <c r="N11" t="str">
        <f t="shared" si="5"/>
        <v>Yes</v>
      </c>
      <c r="O11" t="str">
        <f t="shared" si="6"/>
        <v>No Error</v>
      </c>
      <c r="P11" t="str">
        <f t="shared" si="7"/>
        <v>No here</v>
      </c>
    </row>
    <row r="13" spans="1:20" ht="30" customHeight="1" x14ac:dyDescent="0.25">
      <c r="A13" s="7" t="s">
        <v>25</v>
      </c>
      <c r="B13" s="7"/>
      <c r="C13" s="7"/>
      <c r="E13" s="11"/>
    </row>
    <row r="14" spans="1:20" x14ac:dyDescent="0.25">
      <c r="A14" s="8" t="s">
        <v>17</v>
      </c>
      <c r="C14">
        <f>COUNTIF(H2:H11,"=Achieved")</f>
        <v>6</v>
      </c>
      <c r="E14" s="12"/>
      <c r="F14" s="12"/>
      <c r="G14" s="12"/>
      <c r="H14" s="12"/>
    </row>
    <row r="15" spans="1:20" x14ac:dyDescent="0.25">
      <c r="A15" s="9" t="s">
        <v>26</v>
      </c>
      <c r="B15" s="9"/>
      <c r="C15">
        <f>COUNTIFS(H2:H11,"=Achieved",D2:D11,"&gt;=90%")</f>
        <v>4</v>
      </c>
    </row>
    <row r="16" spans="1:20" x14ac:dyDescent="0.25">
      <c r="A16" t="s">
        <v>27</v>
      </c>
      <c r="C16">
        <f>COUNTIF(J1:J11,"=Risk")</f>
        <v>4</v>
      </c>
    </row>
  </sheetData>
  <autoFilter ref="A1:M11" xr:uid="{00000000-0001-0000-0000-000000000000}">
    <filterColumn colId="8">
      <filters>
        <filter val="High Performer"/>
      </filters>
    </filterColumn>
  </autoFilter>
  <mergeCells count="2">
    <mergeCell ref="A13:C13"/>
    <mergeCell ref="E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13A4-B34F-45CE-94B5-C133CC82BE60}">
  <dimension ref="A1:A33"/>
  <sheetViews>
    <sheetView tabSelected="1" zoomScaleNormal="100" workbookViewId="0">
      <selection activeCell="N10" sqref="N10"/>
    </sheetView>
  </sheetViews>
  <sheetFormatPr defaultRowHeight="15" x14ac:dyDescent="0.25"/>
  <sheetData>
    <row r="1" spans="1:1" x14ac:dyDescent="0.25">
      <c r="A1" s="10"/>
    </row>
    <row r="3" spans="1:1" ht="18.75" x14ac:dyDescent="0.3">
      <c r="A3" s="14" t="s">
        <v>29</v>
      </c>
    </row>
    <row r="5" spans="1:1" x14ac:dyDescent="0.25">
      <c r="A5" s="15" t="s">
        <v>30</v>
      </c>
    </row>
    <row r="6" spans="1:1" x14ac:dyDescent="0.25">
      <c r="A6" t="s">
        <v>31</v>
      </c>
    </row>
    <row r="8" spans="1:1" x14ac:dyDescent="0.25">
      <c r="A8" s="15" t="s">
        <v>32</v>
      </c>
    </row>
    <row r="9" spans="1:1" x14ac:dyDescent="0.25">
      <c r="A9" t="s">
        <v>33</v>
      </c>
    </row>
    <row r="11" spans="1:1" x14ac:dyDescent="0.25">
      <c r="A11" s="15" t="s">
        <v>34</v>
      </c>
    </row>
    <row r="12" spans="1:1" x14ac:dyDescent="0.25">
      <c r="A12" t="s">
        <v>35</v>
      </c>
    </row>
    <row r="14" spans="1:1" x14ac:dyDescent="0.25">
      <c r="A14" s="15" t="s">
        <v>36</v>
      </c>
    </row>
    <row r="15" spans="1:1" x14ac:dyDescent="0.25">
      <c r="A15" t="s">
        <v>37</v>
      </c>
    </row>
    <row r="17" spans="1:1" x14ac:dyDescent="0.25">
      <c r="A17" s="15" t="s">
        <v>38</v>
      </c>
    </row>
    <row r="18" spans="1:1" x14ac:dyDescent="0.25">
      <c r="A18" t="s">
        <v>39</v>
      </c>
    </row>
    <row r="20" spans="1:1" x14ac:dyDescent="0.25">
      <c r="A20" s="15" t="s">
        <v>40</v>
      </c>
    </row>
    <row r="21" spans="1:1" x14ac:dyDescent="0.25">
      <c r="A21" t="s">
        <v>41</v>
      </c>
    </row>
    <row r="23" spans="1:1" x14ac:dyDescent="0.25">
      <c r="A23" s="15" t="s">
        <v>42</v>
      </c>
    </row>
    <row r="24" spans="1:1" x14ac:dyDescent="0.25">
      <c r="A24" t="s">
        <v>43</v>
      </c>
    </row>
    <row r="26" spans="1:1" x14ac:dyDescent="0.25">
      <c r="A26" s="15" t="s">
        <v>44</v>
      </c>
    </row>
    <row r="27" spans="1:1" x14ac:dyDescent="0.25">
      <c r="A27" t="s">
        <v>45</v>
      </c>
    </row>
    <row r="29" spans="1:1" x14ac:dyDescent="0.25">
      <c r="A29" s="15" t="s">
        <v>46</v>
      </c>
    </row>
    <row r="30" spans="1:1" x14ac:dyDescent="0.25">
      <c r="A30" t="s">
        <v>47</v>
      </c>
    </row>
    <row r="32" spans="1:1" x14ac:dyDescent="0.25">
      <c r="A32" s="15" t="s">
        <v>48</v>
      </c>
    </row>
    <row r="33" spans="1:1" x14ac:dyDescent="0.25">
      <c r="A3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Day-4-Practice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2026-09-04T13:34:44Z</dcterms:modified>
</cp:coreProperties>
</file>