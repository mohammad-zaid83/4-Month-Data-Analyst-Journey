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1\Day- 03\"/>
    </mc:Choice>
  </mc:AlternateContent>
  <xr:revisionPtr revIDLastSave="0" documentId="13_ncr:1_{70EE347E-C93C-4D9F-87CB-2E0A44C7C411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If" sheetId="1" r:id="rId1"/>
    <sheet name="IF + AND" sheetId="2" r:id="rId2"/>
    <sheet name="IF+OR" sheetId="3" r:id="rId3"/>
    <sheet name="Practice" sheetId="4" r:id="rId4"/>
    <sheet name="Shee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4" l="1"/>
  <c r="P3" i="4"/>
  <c r="P4" i="4"/>
  <c r="P5" i="4"/>
  <c r="P6" i="4"/>
  <c r="P7" i="4"/>
  <c r="P8" i="4"/>
  <c r="P9" i="4"/>
  <c r="P2" i="4"/>
  <c r="N3" i="4"/>
  <c r="N4" i="4"/>
  <c r="N5" i="4"/>
  <c r="N6" i="4"/>
  <c r="N7" i="4"/>
  <c r="N8" i="4"/>
  <c r="N9" i="4"/>
  <c r="N2" i="4"/>
  <c r="M3" i="4"/>
  <c r="M4" i="4"/>
  <c r="M5" i="4"/>
  <c r="M6" i="4"/>
  <c r="M7" i="4"/>
  <c r="M8" i="4"/>
  <c r="M9" i="4"/>
  <c r="M2" i="4"/>
  <c r="L3" i="4"/>
  <c r="L4" i="4"/>
  <c r="L5" i="4"/>
  <c r="L6" i="4"/>
  <c r="L7" i="4"/>
  <c r="L8" i="4"/>
  <c r="L9" i="4"/>
  <c r="L2" i="4"/>
  <c r="K3" i="4" a="1"/>
  <c r="K4" i="4" a="1"/>
  <c r="K5" i="4" a="1"/>
  <c r="K6" i="4" a="1"/>
  <c r="K7" i="4" a="1"/>
  <c r="K8" i="4" a="1"/>
  <c r="K9" i="4" a="1"/>
  <c r="K2" i="4" a="1"/>
  <c r="J2" i="4"/>
  <c r="J3" i="4"/>
  <c r="J4" i="4"/>
  <c r="J5" i="4"/>
  <c r="J6" i="4"/>
  <c r="J7" i="4"/>
  <c r="J8" i="4"/>
  <c r="J9" i="4"/>
  <c r="I3" i="4"/>
  <c r="I4" i="4"/>
  <c r="I5" i="4"/>
  <c r="I6" i="4"/>
  <c r="I7" i="4"/>
  <c r="I8" i="4"/>
  <c r="I9" i="4"/>
  <c r="I2" i="4"/>
  <c r="H3" i="4"/>
  <c r="H4" i="4"/>
  <c r="H5" i="4"/>
  <c r="H6" i="4"/>
  <c r="H7" i="4"/>
  <c r="H8" i="4"/>
  <c r="H9" i="4"/>
  <c r="H2" i="4"/>
  <c r="G3" i="4"/>
  <c r="G4" i="4"/>
  <c r="G5" i="4"/>
  <c r="G6" i="4"/>
  <c r="G7" i="4"/>
  <c r="G8" i="4"/>
  <c r="G9" i="4"/>
  <c r="G2" i="4"/>
  <c r="C3" i="3"/>
  <c r="C4" i="3"/>
  <c r="C5" i="3"/>
  <c r="C6" i="3"/>
  <c r="C2" i="3"/>
  <c r="D3" i="3"/>
  <c r="D4" i="3"/>
  <c r="D5" i="3"/>
  <c r="D6" i="3"/>
  <c r="D2" i="3"/>
  <c r="E3" i="2"/>
  <c r="E4" i="2"/>
  <c r="E2" i="2"/>
  <c r="G8" i="1"/>
  <c r="G9" i="1"/>
  <c r="G7" i="1"/>
  <c r="G4" i="1"/>
  <c r="G3" i="1"/>
  <c r="G2" i="1"/>
  <c r="C8" i="1"/>
  <c r="C9" i="1"/>
  <c r="C7" i="1"/>
  <c r="C3" i="1"/>
  <c r="C4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<sst xmlns="http://schemas.openxmlformats.org/spreadsheetml/2006/main" count="99" uniqueCount="79">
  <si>
    <t xml:space="preserve">Student name </t>
  </si>
  <si>
    <t xml:space="preserve">Test </t>
  </si>
  <si>
    <t xml:space="preserve">Student Name </t>
  </si>
  <si>
    <t>Test Marks</t>
  </si>
  <si>
    <t xml:space="preserve">Raj </t>
  </si>
  <si>
    <t>Rohit</t>
  </si>
  <si>
    <t>Aryan</t>
  </si>
  <si>
    <t>Failed Student</t>
  </si>
  <si>
    <t>Rseult (Using Emoji )</t>
  </si>
  <si>
    <t>Result</t>
  </si>
  <si>
    <t>Add. 5 Grace Marks If stu Fail</t>
  </si>
  <si>
    <t>`</t>
  </si>
  <si>
    <t>Phy</t>
  </si>
  <si>
    <t>Che</t>
  </si>
  <si>
    <t>Mat</t>
  </si>
  <si>
    <t>zaid</t>
  </si>
  <si>
    <t>arish</t>
  </si>
  <si>
    <t>ahaan</t>
  </si>
  <si>
    <t>If Phy, Che, Mat marks is greater or equal to 40 then print Pass else Fail</t>
  </si>
  <si>
    <t xml:space="preserve">order no </t>
  </si>
  <si>
    <t>Progress</t>
  </si>
  <si>
    <t>Status</t>
  </si>
  <si>
    <t>shivam</t>
  </si>
  <si>
    <t>sani</t>
  </si>
  <si>
    <t>shubhash</t>
  </si>
  <si>
    <t>Deliverd</t>
  </si>
  <si>
    <t>Cancelled</t>
  </si>
  <si>
    <t>In Transit</t>
  </si>
  <si>
    <t>Employee</t>
  </si>
  <si>
    <t>Sales</t>
  </si>
  <si>
    <t>Target</t>
  </si>
  <si>
    <t>Attendance</t>
  </si>
  <si>
    <t>Errors</t>
  </si>
  <si>
    <t>Customer_Rating</t>
  </si>
  <si>
    <t>Ahmed</t>
  </si>
  <si>
    <t>Rahul</t>
  </si>
  <si>
    <t>Arman</t>
  </si>
  <si>
    <t>Zoya</t>
  </si>
  <si>
    <t>Sara</t>
  </si>
  <si>
    <t>Ali</t>
  </si>
  <si>
    <t>Hamza</t>
  </si>
  <si>
    <t>Ayesha</t>
  </si>
  <si>
    <t>Performance</t>
  </si>
  <si>
    <t>Attention</t>
  </si>
  <si>
    <t>No_Error</t>
  </si>
  <si>
    <t>Performance
grade</t>
  </si>
  <si>
    <t>Bonus</t>
  </si>
  <si>
    <t>Promotion</t>
  </si>
  <si>
    <t>Sales_error</t>
  </si>
  <si>
    <t xml:space="preserve">Taregt_Achive
Attentendance &lt;90 </t>
  </si>
  <si>
    <t>Helper_Achieved</t>
  </si>
  <si>
    <t>Day 03/30 Logical Functions and Business problem and condition</t>
  </si>
  <si>
    <t>Topic Learned</t>
  </si>
  <si>
    <t>IF</t>
  </si>
  <si>
    <t>IF + AND</t>
  </si>
  <si>
    <t>IF +OR</t>
  </si>
  <si>
    <t xml:space="preserve">NOT </t>
  </si>
  <si>
    <t>IFS</t>
  </si>
  <si>
    <t>IFERROR</t>
  </si>
  <si>
    <t>NESTED IF</t>
  </si>
  <si>
    <t>Multiple Business Anlaysis</t>
  </si>
  <si>
    <t>Business rule-based Analysis</t>
  </si>
  <si>
    <t>Practical Work</t>
  </si>
  <si>
    <t>Worked on Employee sales based dataset created and solve the problems:</t>
  </si>
  <si>
    <t>Target Status</t>
  </si>
  <si>
    <t>Performance Category</t>
  </si>
  <si>
    <t>Attention Flag</t>
  </si>
  <si>
    <t>Error Status</t>
  </si>
  <si>
    <t>Performance Grade</t>
  </si>
  <si>
    <t>Bonus Eligibility</t>
  </si>
  <si>
    <t>Promotion Eligibility</t>
  </si>
  <si>
    <t>Sales per Error</t>
  </si>
  <si>
    <t>Employee Category</t>
  </si>
  <si>
    <t>Target + Attendance analysis</t>
  </si>
  <si>
    <t>Key learning</t>
  </si>
  <si>
    <t>Today I learn how excle logical function auctullay work to covert business condition into measurable results</t>
  </si>
  <si>
    <t>Instead if looking data manually and watch the tutorial video I practice building formulas that automatically classify employee based sale, attendance, target, errors, Promotion how to calculate find.</t>
  </si>
  <si>
    <t>Anlayst Thinking</t>
  </si>
  <si>
    <t>The main focus was not learning formulas, But understand how logical function can be used in Real life business decision 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</si>
</sst>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" fontId="0" fillId="0" borderId="1" xfId="0" applyNumberFormat="1" applyBorder="1"/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120" zoomScaleNormal="120" workbookViewId="0">
      <selection activeCell="H8" sqref="H8"/>
    </sheetView>
  </sheetViews>
  <sheetFormatPr defaultRowHeight="15" x14ac:dyDescent="0.25"/>
  <cols>
    <col min="1" max="1" width="14" bestFit="1" customWidth="1"/>
    <col min="2" max="2" width="5.28515625" bestFit="1" customWidth="1"/>
    <col min="3" max="3" width="14" bestFit="1" customWidth="1"/>
    <col min="5" max="5" width="14.28515625" bestFit="1" customWidth="1"/>
    <col min="6" max="6" width="10.5703125" bestFit="1" customWidth="1"/>
    <col min="7" max="7" width="27.7109375" bestFit="1" customWidth="1"/>
  </cols>
  <sheetData>
    <row r="1" spans="1:8" x14ac:dyDescent="0.25">
      <c r="A1" s="2" t="s">
        <v>0</v>
      </c>
      <c r="B1" s="2" t="s">
        <v>1</v>
      </c>
      <c r="C1" s="2" t="s">
        <v>9</v>
      </c>
      <c r="D1" s="1"/>
      <c r="E1" s="2" t="s">
        <v>2</v>
      </c>
      <c r="F1" s="2" t="s">
        <v>3</v>
      </c>
      <c r="G1" s="2" t="s">
        <v>10</v>
      </c>
    </row>
    <row r="2" spans="1:8" x14ac:dyDescent="0.25">
      <c r="A2" s="3" t="s">
        <v>4</v>
      </c>
      <c r="B2" s="3">
        <v>85</v>
      </c>
      <c r="C2" s="3" t="str">
        <f>IF(B2&gt;80,"Pass", "Fail")</f>
        <v>Pass</v>
      </c>
      <c r="D2" s="1"/>
      <c r="E2" s="3" t="s">
        <v>4</v>
      </c>
      <c r="F2" s="3">
        <v>85</v>
      </c>
      <c r="G2" s="3">
        <f>IF(F2&lt;50,F2+10,F2)</f>
        <v>85</v>
      </c>
      <c r="H2" t="s">
        <v>11</v>
      </c>
    </row>
    <row r="3" spans="1:8" x14ac:dyDescent="0.25">
      <c r="A3" s="3" t="s">
        <v>5</v>
      </c>
      <c r="B3" s="3">
        <v>10</v>
      </c>
      <c r="C3" s="3" t="str">
        <f t="shared" ref="C3:C4" si="0">IF(B3&gt;80,"Pass", "Fail")</f>
        <v>Fail</v>
      </c>
      <c r="D3" s="1"/>
      <c r="E3" s="3" t="s">
        <v>5</v>
      </c>
      <c r="F3" s="3">
        <v>10</v>
      </c>
      <c r="G3" s="3">
        <f>IF(F3&lt;50,F3+10,F3)</f>
        <v>20</v>
      </c>
    </row>
    <row r="4" spans="1:8" x14ac:dyDescent="0.25">
      <c r="A4" s="3" t="s">
        <v>6</v>
      </c>
      <c r="B4" s="3">
        <v>50</v>
      </c>
      <c r="C4" s="3" t="str">
        <f t="shared" si="0"/>
        <v>Fail</v>
      </c>
      <c r="D4" s="1"/>
      <c r="E4" s="3" t="s">
        <v>6</v>
      </c>
      <c r="F4" s="3">
        <v>55</v>
      </c>
      <c r="G4" s="3">
        <f>IF(F4&lt;50,F4+10,F4)</f>
        <v>55</v>
      </c>
    </row>
    <row r="5" spans="1:8" x14ac:dyDescent="0.25">
      <c r="A5" s="1"/>
      <c r="B5" s="1"/>
      <c r="C5" s="1"/>
      <c r="D5" s="1"/>
      <c r="E5" s="1"/>
      <c r="F5" s="1"/>
      <c r="G5" s="1"/>
    </row>
    <row r="6" spans="1:8" x14ac:dyDescent="0.25">
      <c r="A6" s="2" t="s">
        <v>0</v>
      </c>
      <c r="B6" s="2" t="s">
        <v>1</v>
      </c>
      <c r="C6" s="2" t="s">
        <v>7</v>
      </c>
      <c r="D6" s="1"/>
      <c r="E6" s="2" t="s">
        <v>0</v>
      </c>
      <c r="F6" s="2" t="s">
        <v>1</v>
      </c>
      <c r="G6" s="2" t="s">
        <v>8</v>
      </c>
    </row>
    <row r="7" spans="1:8" x14ac:dyDescent="0.25">
      <c r="A7" s="3" t="s">
        <v>4</v>
      </c>
      <c r="B7" s="3">
        <v>85</v>
      </c>
      <c r="C7" s="3" t="str">
        <f>IF(B7&lt;80,A7,"")</f>
        <v/>
      </c>
      <c r="D7" s="1"/>
      <c r="E7" s="3" t="s">
        <v>4</v>
      </c>
      <c r="F7" s="3">
        <v>85</v>
      </c>
      <c r="G7" s="3" t="str">
        <f>IF(F7&gt;=40,"✔️","❌")</f>
        <v>✔️</v>
      </c>
    </row>
    <row r="8" spans="1:8" x14ac:dyDescent="0.25">
      <c r="A8" s="3" t="s">
        <v>5</v>
      </c>
      <c r="B8" s="3">
        <v>10</v>
      </c>
      <c r="C8" s="3" t="str">
        <f t="shared" ref="C8:C9" si="1">IF(B8&lt;80,A8,"")</f>
        <v>Rohit</v>
      </c>
      <c r="D8" s="1"/>
      <c r="E8" s="3" t="s">
        <v>5</v>
      </c>
      <c r="F8" s="3">
        <v>10</v>
      </c>
      <c r="G8" s="3" t="str">
        <f t="shared" ref="G8:G9" si="2">IF(F8&gt;=40,"✔️","❌")</f>
        <v>❌</v>
      </c>
    </row>
    <row r="9" spans="1:8" x14ac:dyDescent="0.25">
      <c r="A9" s="3" t="s">
        <v>6</v>
      </c>
      <c r="B9" s="3">
        <v>50</v>
      </c>
      <c r="C9" s="3" t="str">
        <f t="shared" si="1"/>
        <v>Aryan</v>
      </c>
      <c r="D9" s="1"/>
      <c r="E9" s="3" t="s">
        <v>6</v>
      </c>
      <c r="F9" s="3">
        <v>50</v>
      </c>
      <c r="G9" s="3" t="str">
        <f t="shared" si="2"/>
        <v>✔️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E544-C8C6-4BCE-9724-A1F3A06B0C26}">
  <dimension ref="A1:G6"/>
  <sheetViews>
    <sheetView zoomScale="130" zoomScaleNormal="130" workbookViewId="0">
      <selection activeCell="E10" sqref="E10"/>
    </sheetView>
  </sheetViews>
  <sheetFormatPr defaultRowHeight="15" x14ac:dyDescent="0.25"/>
  <cols>
    <col min="1" max="1" width="14" bestFit="1" customWidth="1"/>
  </cols>
  <sheetData>
    <row r="1" spans="1:7" x14ac:dyDescent="0.25">
      <c r="A1" s="5" t="s">
        <v>0</v>
      </c>
      <c r="B1" s="5" t="s">
        <v>12</v>
      </c>
      <c r="C1" s="5" t="s">
        <v>13</v>
      </c>
      <c r="D1" s="5" t="s">
        <v>14</v>
      </c>
      <c r="E1" s="5" t="s">
        <v>9</v>
      </c>
    </row>
    <row r="2" spans="1:7" x14ac:dyDescent="0.25">
      <c r="A2" s="4" t="s">
        <v>15</v>
      </c>
      <c r="B2" s="4">
        <v>50</v>
      </c>
      <c r="C2" s="4">
        <v>85</v>
      </c>
      <c r="D2" s="4">
        <v>58</v>
      </c>
      <c r="E2" s="4" t="str">
        <f>IF(AND(B2&gt;40,C2&gt;40,D2&gt;40),"Pass","Fail")</f>
        <v>Pass</v>
      </c>
    </row>
    <row r="3" spans="1:7" x14ac:dyDescent="0.25">
      <c r="A3" s="4" t="s">
        <v>16</v>
      </c>
      <c r="B3" s="4">
        <v>78</v>
      </c>
      <c r="C3" s="4">
        <v>45</v>
      </c>
      <c r="D3" s="4">
        <v>65</v>
      </c>
      <c r="E3" s="4" t="str">
        <f t="shared" ref="E3:E4" si="0">IF(AND(B3&gt;40,C3&gt;40,D3&gt;40),"Pass","Fail")</f>
        <v>Pass</v>
      </c>
    </row>
    <row r="4" spans="1:7" x14ac:dyDescent="0.25">
      <c r="A4" s="4" t="s">
        <v>17</v>
      </c>
      <c r="B4" s="4">
        <v>97</v>
      </c>
      <c r="C4" s="4">
        <v>45</v>
      </c>
      <c r="D4" s="4">
        <v>85</v>
      </c>
      <c r="E4" s="4" t="str">
        <f t="shared" si="0"/>
        <v>Pass</v>
      </c>
    </row>
    <row r="6" spans="1:7" x14ac:dyDescent="0.25">
      <c r="A6" s="6" t="s">
        <v>18</v>
      </c>
      <c r="B6" s="6"/>
      <c r="C6" s="6"/>
      <c r="D6" s="6"/>
      <c r="E6" s="6"/>
      <c r="F6" s="6"/>
      <c r="G6" s="6"/>
    </row>
  </sheetData>
  <mergeCells count="1">
    <mergeCell ref="A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8DE0-398B-4A94-B764-6B936B3DB38A}">
  <dimension ref="A1:D6"/>
  <sheetViews>
    <sheetView zoomScale="120" zoomScaleNormal="120" workbookViewId="0">
      <selection activeCell="C2" sqref="C2:C6"/>
    </sheetView>
  </sheetViews>
  <sheetFormatPr defaultRowHeight="15" x14ac:dyDescent="0.25"/>
  <sheetData>
    <row r="1" spans="1:4" x14ac:dyDescent="0.25">
      <c r="A1" s="5" t="s">
        <v>19</v>
      </c>
      <c r="B1" s="5" t="s">
        <v>20</v>
      </c>
      <c r="C1" s="5" t="s">
        <v>21</v>
      </c>
    </row>
    <row r="2" spans="1:4" x14ac:dyDescent="0.25">
      <c r="A2" s="4" t="s">
        <v>16</v>
      </c>
      <c r="B2" s="4" t="s">
        <v>25</v>
      </c>
      <c r="C2" s="4" t="str">
        <f>IF(OR(B2="deliverd",B2="cancelled"),"Closed","Open")</f>
        <v>Closed</v>
      </c>
      <c r="D2" t="b">
        <f>OR(B2="deliverd",B2="cancelled")</f>
        <v>1</v>
      </c>
    </row>
    <row r="3" spans="1:4" x14ac:dyDescent="0.25">
      <c r="A3" s="4" t="s">
        <v>17</v>
      </c>
      <c r="B3" s="4" t="s">
        <v>26</v>
      </c>
      <c r="C3" s="4" t="str">
        <f t="shared" ref="C3:C6" si="0">IF(OR(B3="deliverd",B3="cancelled"),"Closed","Open")</f>
        <v>Closed</v>
      </c>
      <c r="D3" t="b">
        <f t="shared" ref="D3:D6" si="1">OR(B3="deliverd",B3="cancelled")</f>
        <v>1</v>
      </c>
    </row>
    <row r="4" spans="1:4" x14ac:dyDescent="0.25">
      <c r="A4" s="4" t="s">
        <v>22</v>
      </c>
      <c r="B4" s="4" t="s">
        <v>27</v>
      </c>
      <c r="C4" s="4" t="str">
        <f t="shared" si="0"/>
        <v>Open</v>
      </c>
      <c r="D4" t="b">
        <f t="shared" si="1"/>
        <v>0</v>
      </c>
    </row>
    <row r="5" spans="1:4" x14ac:dyDescent="0.25">
      <c r="A5" s="4" t="s">
        <v>23</v>
      </c>
      <c r="B5" s="4" t="s">
        <v>25</v>
      </c>
      <c r="C5" s="4" t="str">
        <f t="shared" si="0"/>
        <v>Closed</v>
      </c>
      <c r="D5" t="b">
        <f t="shared" si="1"/>
        <v>1</v>
      </c>
    </row>
    <row r="6" spans="1:4" x14ac:dyDescent="0.25">
      <c r="A6" s="4" t="s">
        <v>24</v>
      </c>
      <c r="B6" s="4" t="s">
        <v>26</v>
      </c>
      <c r="C6" s="4" t="str">
        <f t="shared" si="0"/>
        <v>Closed</v>
      </c>
      <c r="D6" t="b">
        <f t="shared" si="1"/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6DB1-4526-4078-B93D-0AC8FC3C84ED}">
  <dimension ref="A1:P9"/>
  <sheetViews>
    <sheetView topLeftCell="B1" zoomScaleNormal="100" workbookViewId="0">
      <selection activeCell="N12" sqref="N12:N13"/>
    </sheetView>
  </sheetViews>
  <sheetFormatPr defaultRowHeight="15" x14ac:dyDescent="0.25"/>
  <cols>
    <col min="1" max="1" width="10.28515625" customWidth="1"/>
    <col min="4" max="4" width="12.140625" customWidth="1"/>
    <col min="6" max="6" width="18.85546875" customWidth="1"/>
    <col min="7" max="7" width="12.5703125" bestFit="1" customWidth="1"/>
    <col min="8" max="8" width="16.5703125" customWidth="1"/>
    <col min="11" max="11" width="15.85546875" customWidth="1"/>
    <col min="12" max="12" width="11.28515625" bestFit="1" customWidth="1"/>
    <col min="13" max="13" width="10.7109375" customWidth="1"/>
    <col min="14" max="14" width="12" customWidth="1"/>
    <col min="15" max="15" width="21" customWidth="1"/>
  </cols>
  <sheetData>
    <row r="1" spans="1:16" ht="45" x14ac:dyDescent="0.25">
      <c r="A1" s="9" t="s">
        <v>28</v>
      </c>
      <c r="B1" s="9" t="s">
        <v>29</v>
      </c>
      <c r="C1" s="9" t="s">
        <v>30</v>
      </c>
      <c r="D1" s="9" t="s">
        <v>31</v>
      </c>
      <c r="E1" s="10" t="s">
        <v>32</v>
      </c>
      <c r="F1" s="10" t="s">
        <v>33</v>
      </c>
      <c r="G1" s="10" t="s">
        <v>30</v>
      </c>
      <c r="H1" s="10" t="s">
        <v>42</v>
      </c>
      <c r="I1" s="10" t="s">
        <v>43</v>
      </c>
      <c r="J1" s="10" t="s">
        <v>44</v>
      </c>
      <c r="K1" s="11" t="s">
        <v>45</v>
      </c>
      <c r="L1" s="11" t="s">
        <v>46</v>
      </c>
      <c r="M1" s="11" t="s">
        <v>47</v>
      </c>
      <c r="N1" s="11" t="s">
        <v>48</v>
      </c>
      <c r="O1" s="14" t="s">
        <v>49</v>
      </c>
      <c r="P1" s="13" t="s">
        <v>50</v>
      </c>
    </row>
    <row r="2" spans="1:16" x14ac:dyDescent="0.25">
      <c r="A2" s="7" t="s">
        <v>34</v>
      </c>
      <c r="B2" s="7">
        <v>120000</v>
      </c>
      <c r="C2" s="7">
        <v>100000</v>
      </c>
      <c r="D2" s="8">
        <v>0.95</v>
      </c>
      <c r="E2" s="7">
        <v>0</v>
      </c>
      <c r="F2" s="7">
        <v>4.8</v>
      </c>
      <c r="G2" s="4" t="str">
        <f>IF(B2&gt;=C2,"Achieved","NotAcheived")</f>
        <v>Achieved</v>
      </c>
      <c r="H2" s="4" t="str">
        <f>IF(AND(B2&gt;=C2,D2&gt;=90%),"Execelent","Normal")</f>
        <v>Execelent</v>
      </c>
      <c r="I2" s="4" t="str">
        <f>IF(OR(E2&gt;=2,D2&lt;85%),"Yes","No")</f>
        <v>No</v>
      </c>
      <c r="J2" s="4" t="b">
        <f>NOT(A2=E2)</f>
        <v>1</v>
      </c>
      <c r="K2" s="4" t="str" cm="1">
        <f t="array" ref="K2">_xlfn.IFS(B2&gt;C2*1.2,"A",B2&gt;C2*1,"B",B2&gt;C2*0.8,"C")</f>
        <v>B</v>
      </c>
      <c r="L2" s="4" t="str">
        <f>IF(AND(B2&gt;=C2,D2&gt;=90%,E2=0),"Eligible","Not Eligible")</f>
        <v>Eligible</v>
      </c>
      <c r="M2" s="4" t="str">
        <f>IF(OR(B2&gt;C2*1.2,F2&gt;4.5),"Yes","No")</f>
        <v>Yes</v>
      </c>
      <c r="N2" s="4" t="str">
        <f>IFERROR(B2/E2,"No Error")</f>
        <v>No Error</v>
      </c>
      <c r="O2" s="4">
        <f>COUNTIFS(P2:P9,"Yes",D2:D9,"&gt;90%")</f>
        <v>4</v>
      </c>
      <c r="P2" t="str">
        <f>IF(B2&gt;=C2,"Yes","No")</f>
        <v>Yes</v>
      </c>
    </row>
    <row r="3" spans="1:16" x14ac:dyDescent="0.25">
      <c r="A3" s="7" t="s">
        <v>35</v>
      </c>
      <c r="B3" s="7">
        <v>85000</v>
      </c>
      <c r="C3" s="7">
        <v>100000</v>
      </c>
      <c r="D3" s="8">
        <v>0.91</v>
      </c>
      <c r="E3" s="7">
        <v>2</v>
      </c>
      <c r="F3" s="7">
        <v>4.0999999999999996</v>
      </c>
      <c r="G3" s="4" t="str">
        <f t="shared" ref="G3:G9" si="0">IF(B3&gt;=C3,"Achieved","NotAcheived")</f>
        <v>NotAcheived</v>
      </c>
      <c r="H3" s="4" t="str">
        <f t="shared" ref="H3:H9" si="1">IF(AND(B3&gt;=C3,D3&gt;=90%),"Execelent","Normal")</f>
        <v>Normal</v>
      </c>
      <c r="I3" s="4" t="str">
        <f>IF(OR(E3&gt;=2,D3&lt;85%),"Yes","No")</f>
        <v>Yes</v>
      </c>
      <c r="J3" s="4" t="b">
        <f t="shared" ref="J3:J9" si="2">NOT(A3=E3)</f>
        <v>1</v>
      </c>
      <c r="K3" s="4" t="str" cm="1">
        <f t="array" ref="K3">_xlfn.IFS(B3&gt;C3*1.2,"A",B3&gt;C3*1,"B",B3&gt;C3*0.8,"C")</f>
        <v>C</v>
      </c>
      <c r="L3" s="4" t="str">
        <f t="shared" ref="L3:L9" si="3">IF(AND(B3&gt;=C3,D3&gt;=90%,E3=0),"Eligible","Not Eligible")</f>
        <v>Not Eligible</v>
      </c>
      <c r="M3" s="4" t="str">
        <f t="shared" ref="M3:M9" si="4">IF(OR(B3&gt;C3*1.2,F3&gt;4.5),"Yes","No")</f>
        <v>No</v>
      </c>
      <c r="N3" s="4">
        <f t="shared" ref="N3:N9" si="5">IFERROR(B3/E3,"No Error")</f>
        <v>42500</v>
      </c>
      <c r="O3" s="4"/>
      <c r="P3" t="str">
        <f t="shared" ref="P3:P9" si="6">IF(B3&gt;=C3,"Yes","No")</f>
        <v>No</v>
      </c>
    </row>
    <row r="4" spans="1:16" x14ac:dyDescent="0.25">
      <c r="A4" s="7" t="s">
        <v>36</v>
      </c>
      <c r="B4" s="7">
        <v>150000</v>
      </c>
      <c r="C4" s="7">
        <v>120000</v>
      </c>
      <c r="D4" s="8">
        <v>0.97</v>
      </c>
      <c r="E4" s="7">
        <v>0</v>
      </c>
      <c r="F4" s="7">
        <v>4.9000000000000004</v>
      </c>
      <c r="G4" s="4" t="str">
        <f t="shared" si="0"/>
        <v>Achieved</v>
      </c>
      <c r="H4" s="4" t="str">
        <f t="shared" si="1"/>
        <v>Execelent</v>
      </c>
      <c r="I4" s="4" t="str">
        <f t="shared" ref="I3:I9" si="7">IF(OR(E4&gt;=2,D4&lt;85%),"Yes","No")</f>
        <v>No</v>
      </c>
      <c r="J4" s="4" t="b">
        <f t="shared" si="2"/>
        <v>1</v>
      </c>
      <c r="K4" s="4" t="str" cm="1">
        <f t="array" ref="K4">_xlfn.IFS(B4&gt;C4*1.2,"A",B4&gt;C4*1,"B",B4&gt;C4*0.8,"C")</f>
        <v>A</v>
      </c>
      <c r="L4" s="4" t="str">
        <f t="shared" si="3"/>
        <v>Eligible</v>
      </c>
      <c r="M4" s="4" t="str">
        <f t="shared" si="4"/>
        <v>Yes</v>
      </c>
      <c r="N4" s="4" t="str">
        <f t="shared" si="5"/>
        <v>No Error</v>
      </c>
      <c r="O4" s="4"/>
      <c r="P4" t="str">
        <f t="shared" si="6"/>
        <v>Yes</v>
      </c>
    </row>
    <row r="5" spans="1:16" x14ac:dyDescent="0.25">
      <c r="A5" s="7" t="s">
        <v>37</v>
      </c>
      <c r="B5" s="7">
        <v>95000</v>
      </c>
      <c r="C5" s="7">
        <v>90000</v>
      </c>
      <c r="D5" s="8">
        <v>0.88</v>
      </c>
      <c r="E5" s="7">
        <v>1</v>
      </c>
      <c r="F5" s="7">
        <v>4.3</v>
      </c>
      <c r="G5" s="4" t="str">
        <f t="shared" si="0"/>
        <v>Achieved</v>
      </c>
      <c r="H5" s="4" t="str">
        <f t="shared" si="1"/>
        <v>Normal</v>
      </c>
      <c r="I5" s="4" t="str">
        <f t="shared" si="7"/>
        <v>No</v>
      </c>
      <c r="J5" s="4" t="b">
        <f t="shared" si="2"/>
        <v>1</v>
      </c>
      <c r="K5" s="4" t="str" cm="1">
        <f t="array" ref="K5">_xlfn.IFS(B5&gt;C5*1.2,"A",B5&gt;C5*1,"B",B5&gt;C5*0.8,"C")</f>
        <v>B</v>
      </c>
      <c r="L5" s="4" t="str">
        <f t="shared" si="3"/>
        <v>Not Eligible</v>
      </c>
      <c r="M5" s="4" t="str">
        <f t="shared" si="4"/>
        <v>No</v>
      </c>
      <c r="N5" s="4">
        <f t="shared" si="5"/>
        <v>95000</v>
      </c>
      <c r="O5" s="4"/>
      <c r="P5" t="str">
        <f t="shared" si="6"/>
        <v>Yes</v>
      </c>
    </row>
    <row r="6" spans="1:16" x14ac:dyDescent="0.25">
      <c r="A6" s="7" t="s">
        <v>38</v>
      </c>
      <c r="B6" s="7">
        <v>70000</v>
      </c>
      <c r="C6" s="7">
        <v>100000</v>
      </c>
      <c r="D6" s="8">
        <v>0.82</v>
      </c>
      <c r="E6" s="7">
        <v>3</v>
      </c>
      <c r="F6" s="7">
        <v>3.8</v>
      </c>
      <c r="G6" s="4" t="str">
        <f t="shared" si="0"/>
        <v>NotAcheived</v>
      </c>
      <c r="H6" s="4" t="str">
        <f t="shared" si="1"/>
        <v>Normal</v>
      </c>
      <c r="I6" s="4" t="str">
        <f t="shared" si="7"/>
        <v>Yes</v>
      </c>
      <c r="J6" s="4" t="b">
        <f t="shared" si="2"/>
        <v>1</v>
      </c>
      <c r="K6" s="4" t="e" cm="1">
        <f t="array" ref="K6">_xlfn.IFS(B6&gt;C6*1.2,"A",B6&gt;C6*1,"B",B6&gt;C6*0.8,"C")</f>
        <v>#N/A</v>
      </c>
      <c r="L6" s="4" t="str">
        <f t="shared" si="3"/>
        <v>Not Eligible</v>
      </c>
      <c r="M6" s="4" t="str">
        <f t="shared" si="4"/>
        <v>No</v>
      </c>
      <c r="N6" s="12">
        <f t="shared" si="5"/>
        <v>23333.333333333332</v>
      </c>
      <c r="O6" s="4"/>
      <c r="P6" t="str">
        <f t="shared" si="6"/>
        <v>No</v>
      </c>
    </row>
    <row r="7" spans="1:16" x14ac:dyDescent="0.25">
      <c r="A7" s="7" t="s">
        <v>39</v>
      </c>
      <c r="B7" s="7">
        <v>110000</v>
      </c>
      <c r="C7" s="7">
        <v>100000</v>
      </c>
      <c r="D7" s="8">
        <v>0.94</v>
      </c>
      <c r="E7" s="7">
        <v>1</v>
      </c>
      <c r="F7" s="7">
        <v>4.5</v>
      </c>
      <c r="G7" s="4" t="str">
        <f t="shared" si="0"/>
        <v>Achieved</v>
      </c>
      <c r="H7" s="4" t="str">
        <f t="shared" si="1"/>
        <v>Execelent</v>
      </c>
      <c r="I7" s="4" t="str">
        <f t="shared" si="7"/>
        <v>No</v>
      </c>
      <c r="J7" s="4" t="b">
        <f t="shared" si="2"/>
        <v>1</v>
      </c>
      <c r="K7" s="4" t="str" cm="1">
        <f t="array" ref="K7">_xlfn.IFS(B7&gt;C7*1.2,"A",B7&gt;C7*1,"B",B7&gt;C7*0.8,"C")</f>
        <v>B</v>
      </c>
      <c r="L7" s="4" t="str">
        <f t="shared" si="3"/>
        <v>Not Eligible</v>
      </c>
      <c r="M7" s="4" t="str">
        <f t="shared" si="4"/>
        <v>No</v>
      </c>
      <c r="N7" s="4">
        <f t="shared" si="5"/>
        <v>110000</v>
      </c>
      <c r="O7" s="4"/>
      <c r="P7" t="str">
        <f t="shared" si="6"/>
        <v>Yes</v>
      </c>
    </row>
    <row r="8" spans="1:16" x14ac:dyDescent="0.25">
      <c r="A8" s="7" t="s">
        <v>40</v>
      </c>
      <c r="B8" s="7">
        <v>130000</v>
      </c>
      <c r="C8" s="7">
        <v>150000</v>
      </c>
      <c r="D8" s="8">
        <v>0.96</v>
      </c>
      <c r="E8" s="7">
        <v>0</v>
      </c>
      <c r="F8" s="7">
        <v>4.7</v>
      </c>
      <c r="G8" s="4" t="str">
        <f t="shared" si="0"/>
        <v>NotAcheived</v>
      </c>
      <c r="H8" s="4" t="str">
        <f t="shared" si="1"/>
        <v>Normal</v>
      </c>
      <c r="I8" s="4" t="str">
        <f t="shared" si="7"/>
        <v>No</v>
      </c>
      <c r="J8" s="4" t="b">
        <f t="shared" si="2"/>
        <v>1</v>
      </c>
      <c r="K8" s="4" t="str" cm="1">
        <f t="array" ref="K8">_xlfn.IFS(B8&gt;C8*1.2,"A",B8&gt;C8*1,"B",B8&gt;C8*0.8,"C")</f>
        <v>C</v>
      </c>
      <c r="L8" s="4" t="str">
        <f t="shared" si="3"/>
        <v>Not Eligible</v>
      </c>
      <c r="M8" s="4" t="str">
        <f t="shared" si="4"/>
        <v>Yes</v>
      </c>
      <c r="N8" s="4" t="str">
        <f t="shared" si="5"/>
        <v>No Error</v>
      </c>
      <c r="O8" s="4"/>
      <c r="P8" t="str">
        <f t="shared" si="6"/>
        <v>No</v>
      </c>
    </row>
    <row r="9" spans="1:16" x14ac:dyDescent="0.25">
      <c r="A9" s="7" t="s">
        <v>41</v>
      </c>
      <c r="B9" s="7">
        <v>180000</v>
      </c>
      <c r="C9" s="7">
        <v>150000</v>
      </c>
      <c r="D9" s="8">
        <v>0.98</v>
      </c>
      <c r="E9" s="7">
        <v>0</v>
      </c>
      <c r="F9" s="7">
        <v>4.9000000000000004</v>
      </c>
      <c r="G9" s="4" t="str">
        <f t="shared" si="0"/>
        <v>Achieved</v>
      </c>
      <c r="H9" s="4" t="str">
        <f t="shared" si="1"/>
        <v>Execelent</v>
      </c>
      <c r="I9" s="4" t="str">
        <f t="shared" si="7"/>
        <v>No</v>
      </c>
      <c r="J9" s="4" t="b">
        <f t="shared" si="2"/>
        <v>1</v>
      </c>
      <c r="K9" s="4" t="str" cm="1">
        <f t="array" ref="K9">_xlfn.IFS(B9&gt;C9*1.2,"A",B9&gt;C9*1,"B",B9&gt;C9*0.8,"C")</f>
        <v>B</v>
      </c>
      <c r="L9" s="4" t="str">
        <f t="shared" si="3"/>
        <v>Eligible</v>
      </c>
      <c r="M9" s="4" t="str">
        <f t="shared" si="4"/>
        <v>Yes</v>
      </c>
      <c r="N9" s="4" t="str">
        <f t="shared" si="5"/>
        <v>No Error</v>
      </c>
      <c r="O9" s="4"/>
      <c r="P9" t="str">
        <f t="shared" si="6"/>
        <v>Yes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D8B7-6B76-4231-8401-5E5A25C82F73}">
  <dimension ref="A1:A33"/>
  <sheetViews>
    <sheetView tabSelected="1" topLeftCell="A19" workbookViewId="0">
      <selection activeCell="F26" sqref="F26:F27"/>
    </sheetView>
  </sheetViews>
  <sheetFormatPr defaultRowHeight="15" x14ac:dyDescent="0.25"/>
  <sheetData>
    <row r="1" spans="1:1" ht="21" x14ac:dyDescent="0.35">
      <c r="A1" s="16" t="s">
        <v>51</v>
      </c>
    </row>
    <row r="3" spans="1:1" ht="15.75" x14ac:dyDescent="0.25">
      <c r="A3" s="15" t="s">
        <v>52</v>
      </c>
    </row>
    <row r="4" spans="1:1" ht="15.75" x14ac:dyDescent="0.25">
      <c r="A4" s="15" t="s">
        <v>53</v>
      </c>
    </row>
    <row r="5" spans="1:1" ht="15.75" x14ac:dyDescent="0.25">
      <c r="A5" s="15" t="s">
        <v>54</v>
      </c>
    </row>
    <row r="6" spans="1:1" ht="15.75" x14ac:dyDescent="0.25">
      <c r="A6" s="15" t="s">
        <v>55</v>
      </c>
    </row>
    <row r="7" spans="1:1" ht="15.75" x14ac:dyDescent="0.25">
      <c r="A7" s="15" t="s">
        <v>56</v>
      </c>
    </row>
    <row r="8" spans="1:1" ht="15.75" x14ac:dyDescent="0.25">
      <c r="A8" s="15" t="s">
        <v>57</v>
      </c>
    </row>
    <row r="9" spans="1:1" ht="15.75" x14ac:dyDescent="0.25">
      <c r="A9" s="15" t="s">
        <v>58</v>
      </c>
    </row>
    <row r="10" spans="1:1" ht="15.75" x14ac:dyDescent="0.25">
      <c r="A10" s="15" t="s">
        <v>59</v>
      </c>
    </row>
    <row r="11" spans="1:1" ht="15.75" x14ac:dyDescent="0.25">
      <c r="A11" s="15" t="s">
        <v>60</v>
      </c>
    </row>
    <row r="12" spans="1:1" ht="15.75" x14ac:dyDescent="0.25">
      <c r="A12" s="15" t="s">
        <v>61</v>
      </c>
    </row>
    <row r="14" spans="1:1" ht="18.75" x14ac:dyDescent="0.3">
      <c r="A14" s="17" t="s">
        <v>62</v>
      </c>
    </row>
    <row r="15" spans="1:1" ht="15.75" x14ac:dyDescent="0.25">
      <c r="A15" s="15" t="s">
        <v>63</v>
      </c>
    </row>
    <row r="16" spans="1:1" ht="15.75" x14ac:dyDescent="0.25">
      <c r="A16" s="15" t="s">
        <v>64</v>
      </c>
    </row>
    <row r="17" spans="1:1" ht="15.75" x14ac:dyDescent="0.25">
      <c r="A17" s="15" t="s">
        <v>65</v>
      </c>
    </row>
    <row r="18" spans="1:1" ht="15.75" x14ac:dyDescent="0.25">
      <c r="A18" s="15" t="s">
        <v>66</v>
      </c>
    </row>
    <row r="19" spans="1:1" ht="15.75" x14ac:dyDescent="0.25">
      <c r="A19" s="15" t="s">
        <v>67</v>
      </c>
    </row>
    <row r="20" spans="1:1" ht="15.75" x14ac:dyDescent="0.25">
      <c r="A20" s="15" t="s">
        <v>68</v>
      </c>
    </row>
    <row r="21" spans="1:1" ht="15.75" x14ac:dyDescent="0.25">
      <c r="A21" s="15" t="s">
        <v>69</v>
      </c>
    </row>
    <row r="22" spans="1:1" ht="15.75" x14ac:dyDescent="0.25">
      <c r="A22" s="15" t="s">
        <v>70</v>
      </c>
    </row>
    <row r="23" spans="1:1" ht="15.75" x14ac:dyDescent="0.25">
      <c r="A23" s="15" t="s">
        <v>71</v>
      </c>
    </row>
    <row r="24" spans="1:1" ht="15.75" x14ac:dyDescent="0.25">
      <c r="A24" s="15" t="s">
        <v>72</v>
      </c>
    </row>
    <row r="25" spans="1:1" ht="15.75" x14ac:dyDescent="0.25">
      <c r="A25" s="15" t="s">
        <v>73</v>
      </c>
    </row>
    <row r="27" spans="1:1" ht="18.75" x14ac:dyDescent="0.3">
      <c r="A27" s="17" t="s">
        <v>74</v>
      </c>
    </row>
    <row r="28" spans="1:1" ht="15.75" x14ac:dyDescent="0.25">
      <c r="A28" s="15" t="s">
        <v>75</v>
      </c>
    </row>
    <row r="30" spans="1:1" ht="15.75" x14ac:dyDescent="0.25">
      <c r="A30" s="15" t="s">
        <v>76</v>
      </c>
    </row>
    <row r="32" spans="1:1" ht="18.75" x14ac:dyDescent="0.3">
      <c r="A32" s="17" t="s">
        <v>77</v>
      </c>
    </row>
    <row r="33" spans="1:1" ht="15.75" x14ac:dyDescent="0.25">
      <c r="A33" s="1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If</vt:lpstr>
      <vt:lpstr>IF + AND</vt:lpstr>
      <vt:lpstr>IF+OR</vt:lpstr>
      <vt:lpstr>Practice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2026-09-03T13:53:24Z</dcterms:modified>
</cp:coreProperties>
</file>