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1\Day -05\"/>
    </mc:Choice>
  </mc:AlternateContent>
  <xr:revisionPtr revIDLastSave="0" documentId="13_ncr:1_{DE1EE5D6-B225-4793-A852-B139D18EDA8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utorial" sheetId="1" r:id="rId1"/>
    <sheet name="Practice" sheetId="2" r:id="rId2"/>
    <sheet name="notes" sheetId="3" r:id="rId3"/>
  </sheets>
  <definedNames>
    <definedName name="_xlnm._FilterDatabase" localSheetId="1" hidden="1">Practice!$A$1:$J$22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I10" i="2"/>
  <c r="I9" i="2"/>
  <c r="I8" i="2"/>
  <c r="J6" i="2"/>
  <c r="I5" i="2"/>
  <c r="J5" i="2"/>
  <c r="J4" i="2"/>
  <c r="J3" i="2"/>
  <c r="J2" i="2"/>
  <c r="I3" i="2"/>
  <c r="I4" i="2"/>
  <c r="H9" i="2"/>
  <c r="H7" i="2"/>
  <c r="H5" i="2"/>
  <c r="H3" i="2"/>
  <c r="G21" i="2"/>
  <c r="G19" i="2"/>
  <c r="G17" i="2"/>
  <c r="G15" i="2"/>
  <c r="G13" i="2"/>
  <c r="G11" i="2"/>
  <c r="G9" i="2"/>
  <c r="G7" i="2"/>
  <c r="G3" i="2"/>
  <c r="G5" i="2"/>
  <c r="F8" i="1"/>
  <c r="E2" i="1" a="1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<sst xmlns="http://schemas.openxmlformats.org/spreadsheetml/2006/main" count="129" uniqueCount="90">
  <si>
    <t>Ram</t>
  </si>
  <si>
    <t>Sham</t>
  </si>
  <si>
    <t>Rahul</t>
  </si>
  <si>
    <t>Vinay</t>
  </si>
  <si>
    <t>Preeti</t>
  </si>
  <si>
    <t>red</t>
  </si>
  <si>
    <t>green</t>
  </si>
  <si>
    <t>yellow</t>
  </si>
  <si>
    <t>orange</t>
  </si>
  <si>
    <t>Formula</t>
  </si>
  <si>
    <t>Order_ID</t>
  </si>
  <si>
    <t>Region</t>
  </si>
  <si>
    <t>Category</t>
  </si>
  <si>
    <t>Sales</t>
  </si>
  <si>
    <t>Profit</t>
  </si>
  <si>
    <t>Quantity</t>
  </si>
  <si>
    <t>O001</t>
  </si>
  <si>
    <t>North</t>
  </si>
  <si>
    <t>Electronics</t>
  </si>
  <si>
    <t>O002</t>
  </si>
  <si>
    <t>South</t>
  </si>
  <si>
    <t>Furniture</t>
  </si>
  <si>
    <t>O003</t>
  </si>
  <si>
    <t>O004</t>
  </si>
  <si>
    <t>East</t>
  </si>
  <si>
    <t>O005</t>
  </si>
  <si>
    <t>West</t>
  </si>
  <si>
    <t>Clothing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</si>
  <si>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</si>
  <si>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</si>
  <si>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</si>
  <si>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</si>
  <si>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</si>
  <si>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</si>
  <si>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</si>
  <si>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</si>
  <si>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</si>
  <si>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</si>
  <si>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</si>
  <si>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</si>
  <si>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</si>
  <si>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</si>
  <si>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</si>
  <si>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Total Sale of north east</t>
  </si>
  <si>
    <t>North total profit</t>
  </si>
  <si>
    <t>Total sales of electroncs</t>
  </si>
  <si>
    <t>total order of north</t>
  </si>
  <si>
    <t>Total order of furniture</t>
  </si>
  <si>
    <t>north,furniture total sales</t>
  </si>
  <si>
    <t>Total profit of south+electronics</t>
  </si>
  <si>
    <t>North Average per order</t>
  </si>
  <si>
    <t>Average profit of Electronics</t>
  </si>
  <si>
    <t>North +electronics average sales</t>
  </si>
  <si>
    <t>Numbers critaria formula use</t>
  </si>
  <si>
    <t>Question/ANS</t>
  </si>
  <si>
    <t>Profit&gt;7000</t>
  </si>
  <si>
    <t>Sales &gt;= 40,000 total Profit?</t>
  </si>
  <si>
    <r>
      <t>Quantity &gt;= 3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average Sales</t>
    </r>
    <r>
      <rPr>
        <sz val="11"/>
        <color theme="1"/>
        <rFont val="Calibri"/>
        <family val="2"/>
        <scheme val="minor"/>
      </rPr>
      <t>?</t>
    </r>
  </si>
  <si>
    <t>Business Question</t>
  </si>
  <si>
    <t>F</t>
  </si>
  <si>
    <t>business ques 2</t>
  </si>
  <si>
    <t>Business Question1</t>
  </si>
  <si>
    <t>Business ques3</t>
  </si>
  <si>
    <t xml:space="preserve">bussniness ques 4 </t>
  </si>
  <si>
    <t>SUMIF</t>
  </si>
  <si>
    <t>Used to calculate a total based on one condition.</t>
  </si>
  <si>
    <t>SUMIFS</t>
  </si>
  <si>
    <t>Used to calculate a total based on multiple conditions.</t>
  </si>
  <si>
    <t>COUNTIF</t>
  </si>
  <si>
    <t>Counts records based on one condition.</t>
  </si>
  <si>
    <t>COUNTIFS</t>
  </si>
  <si>
    <t>Counts records based on multiple conditions.</t>
  </si>
  <si>
    <t>AVERAGEIF</t>
  </si>
  <si>
    <t>Calculates average based on one condition.</t>
  </si>
  <si>
    <t>AVERAGEIFS</t>
  </si>
  <si>
    <t>Calculates average based on multiple conditions.</t>
  </si>
  <si>
    <t>Important Learning:</t>
  </si>
  <si>
    <t>SUMIF  → One condition</t>
  </si>
  <si>
    <t>SUMIFS → Multiple conditions</t>
  </si>
  <si>
    <t>COUNTIF → One condition</t>
  </si>
  <si>
    <t>COUNTIFS → Multiple conditions</t>
  </si>
  <si>
    <t>AVERAGEIF → One condition</t>
  </si>
  <si>
    <t>AVERAGEIFS → Multiple conditions</t>
  </si>
  <si>
    <t>Analyst Thinking:</t>
  </si>
  <si>
    <t xml:space="preserve">       ↓</t>
  </si>
  <si>
    <t>Identify Conditions</t>
  </si>
  <si>
    <t>Choose Function</t>
  </si>
  <si>
    <t>Apply Formula</t>
  </si>
  <si>
    <t>Verify Result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</si>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</sst>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1" fontId="0" fillId="0" borderId="1" xfId="0" applyNumberFormat="1" applyBorder="1"/>
    <xf numFmtId="0" fontId="0" fillId="2" borderId="2" xfId="0" applyFill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  <xf numFmtId="1" fontId="0" fillId="0" borderId="2" xfId="0" applyNumberFormat="1" applyBorder="1"/>
    <xf numFmtId="0" fontId="2" fillId="2" borderId="0" xfId="0" applyFont="1" applyFill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30" zoomScaleNormal="130" workbookViewId="0">
      <selection activeCell="F8" sqref="F8"/>
    </sheetView>
  </sheetViews>
  <sheetFormatPr defaultRowHeight="15"/>
  <sheetData>
    <row r="1" spans="1:6">
      <c r="A1" s="3" t="s">
        <v>0</v>
      </c>
      <c r="B1" s="3" t="s">
        <v>5</v>
      </c>
      <c r="C1" s="3">
        <v>10</v>
      </c>
    </row>
    <row r="2" spans="1:6">
      <c r="A2" s="3" t="s">
        <v>1</v>
      </c>
      <c r="B2" s="3" t="s">
        <v>6</v>
      </c>
      <c r="C2" s="3">
        <v>15</v>
      </c>
      <c r="E2" t="e" cm="1">
        <f t="array" ref="E2">a</f>
        <v>#NAME?</v>
      </c>
    </row>
    <row r="3" spans="1:6">
      <c r="A3" s="3" t="s">
        <v>2</v>
      </c>
      <c r="B3" s="3" t="s">
        <v>7</v>
      </c>
      <c r="C3" s="3">
        <v>20</v>
      </c>
    </row>
    <row r="4" spans="1:6">
      <c r="A4" s="3" t="s">
        <v>3</v>
      </c>
      <c r="B4" s="3" t="s">
        <v>5</v>
      </c>
      <c r="C4" s="3">
        <v>25</v>
      </c>
    </row>
    <row r="5" spans="1:6">
      <c r="A5" s="3" t="s">
        <v>4</v>
      </c>
      <c r="B5" s="3" t="s">
        <v>6</v>
      </c>
      <c r="C5" s="3">
        <v>16</v>
      </c>
    </row>
    <row r="6" spans="1:6">
      <c r="A6" s="3" t="s">
        <v>0</v>
      </c>
      <c r="B6" s="3" t="s">
        <v>8</v>
      </c>
      <c r="C6" s="3">
        <v>17</v>
      </c>
    </row>
    <row r="8" spans="1:6">
      <c r="A8" s="2" t="s">
        <v>9</v>
      </c>
      <c r="B8" s="3">
        <f>COUNTIF(C1:C6,"+10")</f>
        <v>1</v>
      </c>
      <c r="C8" s="3">
        <f>COUNTIFS(C1:C6,"&gt;=10",B1:B6,"=red")</f>
        <v>2</v>
      </c>
      <c r="D8" s="3">
        <f>SUMIF(C1:C6,"&gt;17")</f>
        <v>45</v>
      </c>
      <c r="E8" s="3">
        <f>SUMIFS(C1:C6,B1:B6,"=red",A1:A6,"ram")</f>
        <v>10</v>
      </c>
      <c r="F8" s="3">
        <f>AVERAGE(C1:C6)</f>
        <v>17.166666666666668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56FD-B80C-47C3-BABB-FB06EA6772C6}">
  <dimension ref="A1:J22"/>
  <sheetViews>
    <sheetView tabSelected="1" zoomScale="105" zoomScaleNormal="70" workbookViewId="0">
      <selection activeCell="I10" sqref="I10"/>
    </sheetView>
  </sheetViews>
  <sheetFormatPr defaultRowHeight="15"/>
  <cols>
    <col min="2" max="2" width="7.140625" bestFit="1" customWidth="1"/>
    <col min="3" max="3" width="12.42578125" customWidth="1"/>
    <col min="7" max="7" width="30.28515625" bestFit="1" customWidth="1"/>
    <col min="8" max="8" width="27.28515625" bestFit="1" customWidth="1"/>
    <col min="9" max="9" width="18.5703125" bestFit="1" customWidth="1"/>
    <col min="10" max="10" width="15" bestFit="1" customWidth="1"/>
  </cols>
  <sheetData>
    <row r="1" spans="1:10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54</v>
      </c>
      <c r="H1" s="6" t="s">
        <v>53</v>
      </c>
      <c r="I1" s="8" t="s">
        <v>61</v>
      </c>
      <c r="J1" s="2" t="s">
        <v>60</v>
      </c>
    </row>
    <row r="2" spans="1:10">
      <c r="A2" s="4"/>
      <c r="B2" s="4"/>
      <c r="C2" s="4"/>
      <c r="D2" s="4"/>
      <c r="E2" s="4"/>
      <c r="F2" s="4"/>
      <c r="G2" s="8" t="s">
        <v>43</v>
      </c>
      <c r="H2" s="2" t="s">
        <v>59</v>
      </c>
      <c r="I2" s="1"/>
      <c r="J2" s="3">
        <f>SUMIF(B3:B22,"North",D3:D22)</f>
        <v>244000</v>
      </c>
    </row>
    <row r="3" spans="1:10">
      <c r="A3" s="5" t="s">
        <v>16</v>
      </c>
      <c r="B3" s="5" t="s">
        <v>17</v>
      </c>
      <c r="C3" s="5" t="s">
        <v>18</v>
      </c>
      <c r="D3" s="5">
        <v>45000</v>
      </c>
      <c r="E3" s="5">
        <v>8000</v>
      </c>
      <c r="F3" s="5">
        <v>2</v>
      </c>
      <c r="G3" s="9">
        <f>SUMIF(B:B,B3,D:D)</f>
        <v>244000</v>
      </c>
      <c r="H3" s="3">
        <f>COUNTIF(D3:D22,"&gt;40000")</f>
        <v>8</v>
      </c>
      <c r="I3" s="9">
        <f>SUMIFS(D3:D22,B3:B22,"North",C3:C22,"Electronics")</f>
        <v>161000</v>
      </c>
      <c r="J3" s="3">
        <f>SUMIF(B3:B22,"south",D3:D22)</f>
        <v>169000</v>
      </c>
    </row>
    <row r="4" spans="1:10">
      <c r="A4" s="5" t="s">
        <v>19</v>
      </c>
      <c r="B4" s="5" t="s">
        <v>20</v>
      </c>
      <c r="C4" s="5" t="s">
        <v>21</v>
      </c>
      <c r="D4" s="5">
        <v>32000</v>
      </c>
      <c r="E4" s="5">
        <v>6000</v>
      </c>
      <c r="F4" s="5">
        <v>3</v>
      </c>
      <c r="G4" s="10" t="s">
        <v>44</v>
      </c>
      <c r="H4" s="3" t="s">
        <v>55</v>
      </c>
      <c r="I4" s="9">
        <f>SUMIFS(D3:D22,B3:B22,"North",C3:C22,"Furniture")</f>
        <v>61000</v>
      </c>
      <c r="J4" s="3">
        <f>SUMIF(B3:B22,"east",D3:D22)</f>
        <v>172000</v>
      </c>
    </row>
    <row r="5" spans="1:10">
      <c r="A5" s="5" t="s">
        <v>22</v>
      </c>
      <c r="B5" s="5" t="s">
        <v>17</v>
      </c>
      <c r="C5" s="5" t="s">
        <v>21</v>
      </c>
      <c r="D5" s="5">
        <v>28000</v>
      </c>
      <c r="E5" s="5">
        <v>5000</v>
      </c>
      <c r="F5" s="5">
        <v>2</v>
      </c>
      <c r="G5" s="9">
        <f>SUM(D:D)</f>
        <v>713000</v>
      </c>
      <c r="H5" s="3">
        <f>COUNTIF(E3:E22,"&gt;7000")</f>
        <v>8</v>
      </c>
      <c r="I5">
        <f>MAX(I3:I4)</f>
        <v>161000</v>
      </c>
      <c r="J5" s="3">
        <f>SUMIF(B3:B22,"west",D3:D22)</f>
        <v>128000</v>
      </c>
    </row>
    <row r="6" spans="1:10">
      <c r="A6" s="5" t="s">
        <v>23</v>
      </c>
      <c r="B6" s="5" t="s">
        <v>24</v>
      </c>
      <c r="C6" s="5" t="s">
        <v>18</v>
      </c>
      <c r="D6" s="5">
        <v>52000</v>
      </c>
      <c r="E6" s="5">
        <v>10000</v>
      </c>
      <c r="F6" s="5">
        <v>3</v>
      </c>
      <c r="G6" s="10" t="s">
        <v>45</v>
      </c>
      <c r="H6" s="2" t="s">
        <v>56</v>
      </c>
      <c r="J6" s="3">
        <f>MAX(J2:J5)</f>
        <v>244000</v>
      </c>
    </row>
    <row r="7" spans="1:10">
      <c r="A7" s="5" t="s">
        <v>25</v>
      </c>
      <c r="B7" s="5" t="s">
        <v>26</v>
      </c>
      <c r="C7" s="5" t="s">
        <v>27</v>
      </c>
      <c r="D7" s="5">
        <v>18000</v>
      </c>
      <c r="E7" s="5">
        <v>4000</v>
      </c>
      <c r="F7" s="5">
        <v>5</v>
      </c>
      <c r="G7" s="9">
        <f>SUMIF(B:B,B4,D:D)</f>
        <v>169000</v>
      </c>
      <c r="H7" s="9">
        <f>SUMIF(D3:D22,"&gt;40000",E3:E22)</f>
        <v>74000</v>
      </c>
      <c r="I7" s="2" t="s">
        <v>62</v>
      </c>
      <c r="J7" s="1" t="s">
        <v>63</v>
      </c>
    </row>
    <row r="8" spans="1:10">
      <c r="A8" s="5" t="s">
        <v>28</v>
      </c>
      <c r="B8" s="5" t="s">
        <v>17</v>
      </c>
      <c r="C8" s="5" t="s">
        <v>18</v>
      </c>
      <c r="D8" s="5">
        <v>61000</v>
      </c>
      <c r="E8" s="5">
        <v>12000</v>
      </c>
      <c r="F8" s="5">
        <v>4</v>
      </c>
      <c r="G8" s="10" t="s">
        <v>46</v>
      </c>
      <c r="H8" s="12" t="s">
        <v>57</v>
      </c>
      <c r="I8" s="7">
        <f>AVERAGEIF(C3:C22,"electronics",E3:E22)</f>
        <v>9187.5</v>
      </c>
      <c r="J8">
        <f>SUMIFS(D3:D22,B3:B22,"north",C3:C22,"Electronics",D3:D22,"&gt;50000")</f>
        <v>116000</v>
      </c>
    </row>
    <row r="9" spans="1:10">
      <c r="A9" s="5" t="s">
        <v>29</v>
      </c>
      <c r="B9" s="5" t="s">
        <v>20</v>
      </c>
      <c r="C9" s="5" t="s">
        <v>18</v>
      </c>
      <c r="D9" s="5">
        <v>39000</v>
      </c>
      <c r="E9" s="5">
        <v>7000</v>
      </c>
      <c r="F9" s="5">
        <v>2</v>
      </c>
      <c r="G9" s="9">
        <f>COUNTIF(B:B,"North")</f>
        <v>6</v>
      </c>
      <c r="H9" s="13">
        <f>AVERAGEIF(D3:D22,"&gt;=3",F3:F22)</f>
        <v>3.15</v>
      </c>
      <c r="I9" s="7">
        <f>AVERAGEIF(C3:C22,"Furniture",E3:E22)</f>
        <v>5857.1428571428569</v>
      </c>
    </row>
    <row r="10" spans="1:10">
      <c r="A10" s="5" t="s">
        <v>30</v>
      </c>
      <c r="B10" s="5" t="s">
        <v>24</v>
      </c>
      <c r="C10" s="5" t="s">
        <v>21</v>
      </c>
      <c r="D10" s="5">
        <v>27000</v>
      </c>
      <c r="E10" s="5">
        <v>4500</v>
      </c>
      <c r="F10" s="5">
        <v>2</v>
      </c>
      <c r="G10" s="10" t="s">
        <v>47</v>
      </c>
      <c r="I10" s="3">
        <f>AVERAGEIF(C3:C22,"Clothing",E3:E22)</f>
        <v>3940</v>
      </c>
    </row>
    <row r="11" spans="1:10">
      <c r="A11" s="5" t="s">
        <v>31</v>
      </c>
      <c r="B11" s="5" t="s">
        <v>26</v>
      </c>
      <c r="C11" s="5" t="s">
        <v>18</v>
      </c>
      <c r="D11" s="5">
        <v>48000</v>
      </c>
      <c r="E11" s="5">
        <v>9000</v>
      </c>
      <c r="F11" s="5">
        <v>3</v>
      </c>
      <c r="G11" s="9">
        <f>COUNTIF(C:C,C5)</f>
        <v>7</v>
      </c>
    </row>
    <row r="12" spans="1:10">
      <c r="A12" s="5" t="s">
        <v>32</v>
      </c>
      <c r="B12" s="5" t="s">
        <v>17</v>
      </c>
      <c r="C12" s="5" t="s">
        <v>27</v>
      </c>
      <c r="D12" s="5">
        <v>22000</v>
      </c>
      <c r="E12" s="5">
        <v>5000</v>
      </c>
      <c r="F12" s="5">
        <v>6</v>
      </c>
      <c r="G12" s="10" t="s">
        <v>48</v>
      </c>
    </row>
    <row r="13" spans="1:10">
      <c r="A13" s="5" t="s">
        <v>33</v>
      </c>
      <c r="B13" s="5" t="s">
        <v>20</v>
      </c>
      <c r="C13" s="5" t="s">
        <v>21</v>
      </c>
      <c r="D13" s="5">
        <v>35000</v>
      </c>
      <c r="E13" s="5">
        <v>6500</v>
      </c>
      <c r="F13" s="5">
        <v>3</v>
      </c>
      <c r="G13" s="9">
        <f>SUMIFS(D3:D22,B3:B22,"North",C3:C22,"Furniture")</f>
        <v>61000</v>
      </c>
    </row>
    <row r="14" spans="1:10">
      <c r="A14" s="5" t="s">
        <v>34</v>
      </c>
      <c r="B14" s="5" t="s">
        <v>24</v>
      </c>
      <c r="C14" s="5" t="s">
        <v>27</v>
      </c>
      <c r="D14" s="5">
        <v>16000</v>
      </c>
      <c r="E14" s="5">
        <v>3000</v>
      </c>
      <c r="F14" s="5">
        <v>4</v>
      </c>
      <c r="G14" s="10" t="s">
        <v>49</v>
      </c>
    </row>
    <row r="15" spans="1:10">
      <c r="A15" s="5" t="s">
        <v>35</v>
      </c>
      <c r="B15" s="5" t="s">
        <v>26</v>
      </c>
      <c r="C15" s="5" t="s">
        <v>21</v>
      </c>
      <c r="D15" s="5">
        <v>41000</v>
      </c>
      <c r="E15" s="5">
        <v>7500</v>
      </c>
      <c r="F15" s="5">
        <v>2</v>
      </c>
      <c r="G15" s="9">
        <f>SUMIFS(E3:E22,B3:B22,"South",C3:C22,"Electronics")</f>
        <v>15000</v>
      </c>
    </row>
    <row r="16" spans="1:10">
      <c r="A16" s="5" t="s">
        <v>36</v>
      </c>
      <c r="B16" s="5" t="s">
        <v>17</v>
      </c>
      <c r="C16" s="5" t="s">
        <v>18</v>
      </c>
      <c r="D16" s="5">
        <v>55000</v>
      </c>
      <c r="E16" s="5">
        <v>11000</v>
      </c>
      <c r="F16" s="5">
        <v>3</v>
      </c>
      <c r="G16" s="10" t="s">
        <v>50</v>
      </c>
    </row>
    <row r="17" spans="1:7">
      <c r="A17" s="5" t="s">
        <v>37</v>
      </c>
      <c r="B17" s="5" t="s">
        <v>20</v>
      </c>
      <c r="C17" s="5" t="s">
        <v>27</v>
      </c>
      <c r="D17" s="5">
        <v>19000</v>
      </c>
      <c r="E17" s="5">
        <v>3500</v>
      </c>
      <c r="F17" s="5">
        <v>5</v>
      </c>
      <c r="G17" s="11">
        <f>AVERAGEIF(B3:B22,"North",D3:D22)</f>
        <v>40666.666666666664</v>
      </c>
    </row>
    <row r="18" spans="1:7">
      <c r="A18" s="5" t="s">
        <v>38</v>
      </c>
      <c r="B18" s="5" t="s">
        <v>24</v>
      </c>
      <c r="C18" s="5" t="s">
        <v>18</v>
      </c>
      <c r="D18" s="5">
        <v>47000</v>
      </c>
      <c r="E18" s="5">
        <v>8500</v>
      </c>
      <c r="F18" s="5">
        <v>2</v>
      </c>
      <c r="G18" s="10" t="s">
        <v>51</v>
      </c>
    </row>
    <row r="19" spans="1:7">
      <c r="A19" s="5" t="s">
        <v>39</v>
      </c>
      <c r="B19" s="5" t="s">
        <v>26</v>
      </c>
      <c r="C19" s="5" t="s">
        <v>27</v>
      </c>
      <c r="D19" s="5">
        <v>21000</v>
      </c>
      <c r="E19" s="5">
        <v>4200</v>
      </c>
      <c r="F19" s="5">
        <v>4</v>
      </c>
      <c r="G19" s="9">
        <f>AVERAGEIF(C3:C22,"Electronics",E3:E22)</f>
        <v>9187.5</v>
      </c>
    </row>
    <row r="20" spans="1:7">
      <c r="A20" s="5" t="s">
        <v>40</v>
      </c>
      <c r="B20" s="5" t="s">
        <v>17</v>
      </c>
      <c r="C20" s="5" t="s">
        <v>21</v>
      </c>
      <c r="D20" s="5">
        <v>33000</v>
      </c>
      <c r="E20" s="5">
        <v>6000</v>
      </c>
      <c r="F20" s="5">
        <v>3</v>
      </c>
      <c r="G20" s="10" t="s">
        <v>52</v>
      </c>
    </row>
    <row r="21" spans="1:7">
      <c r="A21" s="5" t="s">
        <v>41</v>
      </c>
      <c r="B21" s="5" t="s">
        <v>20</v>
      </c>
      <c r="C21" s="5" t="s">
        <v>18</v>
      </c>
      <c r="D21" s="5">
        <v>44000</v>
      </c>
      <c r="E21" s="5">
        <v>8000</v>
      </c>
      <c r="F21" s="5">
        <v>3</v>
      </c>
      <c r="G21" s="11">
        <f>AVERAGEIFS(D3:D22,B3:B22,"North",C3:C22,"Electronics")</f>
        <v>53666.666666666664</v>
      </c>
    </row>
    <row r="22" spans="1:7">
      <c r="A22" s="5" t="s">
        <v>42</v>
      </c>
      <c r="B22" s="5" t="s">
        <v>24</v>
      </c>
      <c r="C22" s="5" t="s">
        <v>21</v>
      </c>
      <c r="D22" s="5">
        <v>30000</v>
      </c>
      <c r="E22" s="5">
        <v>5500</v>
      </c>
      <c r="F22" s="5">
        <v>2</v>
      </c>
      <c r="G2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B474-B507-4F9E-A47D-6E2B7BA65031}">
  <dimension ref="A1:A40"/>
  <sheetViews>
    <sheetView workbookViewId="0"/>
  </sheetViews>
  <sheetFormatPr defaultRowHeight="15"/>
  <sheetData>
    <row r="1" spans="1:1">
      <c r="A1" t="s">
        <v>89</v>
      </c>
    </row>
    <row r="3" spans="1:1">
      <c r="A3" t="s">
        <v>64</v>
      </c>
    </row>
    <row r="4" spans="1:1">
      <c r="A4" t="s">
        <v>65</v>
      </c>
    </row>
    <row r="6" spans="1:1">
      <c r="A6" t="s">
        <v>66</v>
      </c>
    </row>
    <row r="7" spans="1:1">
      <c r="A7" t="s">
        <v>67</v>
      </c>
    </row>
    <row r="9" spans="1:1">
      <c r="A9" t="s">
        <v>68</v>
      </c>
    </row>
    <row r="10" spans="1:1">
      <c r="A10" t="s">
        <v>69</v>
      </c>
    </row>
    <row r="12" spans="1:1">
      <c r="A12" t="s">
        <v>70</v>
      </c>
    </row>
    <row r="13" spans="1:1">
      <c r="A13" t="s">
        <v>71</v>
      </c>
    </row>
    <row r="15" spans="1:1">
      <c r="A15" t="s">
        <v>72</v>
      </c>
    </row>
    <row r="16" spans="1:1">
      <c r="A16" t="s">
        <v>73</v>
      </c>
    </row>
    <row r="18" spans="1:1">
      <c r="A18" t="s">
        <v>74</v>
      </c>
    </row>
    <row r="19" spans="1:1">
      <c r="A19" t="s">
        <v>75</v>
      </c>
    </row>
    <row r="21" spans="1:1">
      <c r="A21" t="s">
        <v>76</v>
      </c>
    </row>
    <row r="22" spans="1:1">
      <c r="A22" t="s">
        <v>77</v>
      </c>
    </row>
    <row r="23" spans="1:1">
      <c r="A23" t="s">
        <v>78</v>
      </c>
    </row>
    <row r="25" spans="1:1">
      <c r="A25" t="s">
        <v>79</v>
      </c>
    </row>
    <row r="26" spans="1:1">
      <c r="A26" t="s">
        <v>80</v>
      </c>
    </row>
    <row r="28" spans="1:1">
      <c r="A28" t="s">
        <v>81</v>
      </c>
    </row>
    <row r="29" spans="1:1">
      <c r="A29" t="s">
        <v>82</v>
      </c>
    </row>
    <row r="31" spans="1:1">
      <c r="A31" t="s">
        <v>83</v>
      </c>
    </row>
    <row r="32" spans="1:1">
      <c r="A32" t="s">
        <v>58</v>
      </c>
    </row>
    <row r="33" spans="1:1">
      <c r="A33" t="s">
        <v>84</v>
      </c>
    </row>
    <row r="34" spans="1:1">
      <c r="A34" t="s">
        <v>85</v>
      </c>
    </row>
    <row r="35" spans="1:1">
      <c r="A35" t="s">
        <v>84</v>
      </c>
    </row>
    <row r="36" spans="1:1">
      <c r="A36" t="s">
        <v>86</v>
      </c>
    </row>
    <row r="37" spans="1:1">
      <c r="A37" t="s">
        <v>84</v>
      </c>
    </row>
    <row r="38" spans="1:1">
      <c r="A38" t="s">
        <v>87</v>
      </c>
    </row>
    <row r="39" spans="1:1">
      <c r="A39" t="s">
        <v>84</v>
      </c>
    </row>
    <row r="40" spans="1:1">
      <c r="A40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Tutorial</vt:lpstr>
      <vt:lpstr>Practice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2026-09-11T08:28:26Z</dcterms:modified>
</cp:coreProperties>
</file>