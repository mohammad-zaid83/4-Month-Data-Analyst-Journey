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1\Week-01-Project\"/>
    </mc:Choice>
  </mc:AlternateContent>
  <xr:revisionPtr revIDLastSave="0" documentId="13_ncr:1_{BD8A241C-B246-4E0E-B7A3-D237CCD005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" sheetId="1" r:id="rId1"/>
  </sheets>
  <definedNames>
    <definedName name="_xlnm._FilterDatabase" localSheetId="0" hidden="1">Project!$H$2:$J$22</definedName>
    <definedName name="Category">Project!$C$3:$C$22</definedName>
    <definedName name="Order_ID">Project!$A$3:$A$22</definedName>
    <definedName name="Profit">Project!$E$3:$E$22</definedName>
    <definedName name="Quantity">Project!$F$3:$F$22</definedName>
    <definedName name="Region">Project!$B$3:$B$22</definedName>
    <definedName name="Sales">Project!$D$3:$D$22</definedName>
    <definedName name="🛒_Project__Sales_Performance_Analysis">Project!$A$2:$A$22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Q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I3" i="1" a="1"/>
  <c r="H3" i="1" a="1"/>
  <c r="N5" i="1"/>
  <c r="Q15" i="1"/>
  <c r="Q14" i="1"/>
  <c r="Q13" i="1"/>
  <c r="Q9" i="1"/>
  <c r="Q7" i="1"/>
  <c r="Q4" i="1"/>
  <c r="Q3" i="1"/>
  <c r="N16" i="1"/>
  <c r="N15" i="1"/>
  <c r="N14" i="1"/>
  <c r="N13" i="1"/>
  <c r="N10" i="1"/>
  <c r="N6" i="1"/>
  <c r="N4" i="1"/>
  <c r="N3" i="1"/>
  <c r="Q10" i="1" l="1"/>
  <c r="N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syed muhammad zaid</author>
  </authors>
  <commentList>
    <comment ref="H2" authorId="0" shapeId="0" xr:uid="{42A2D9CD-6D96-4CDF-A833-5F7DCB46317D}">
      <text>
        <r>
          <rPr>
            <b/>
            <sz val="9"/>
            <color indexed="81"/>
            <rFont val="Tahoma"/>
            <family val="2"/>
          </rPr>
          <t>syed muhammad zaid:</t>
        </r>
        <r>
          <rPr>
            <sz val="9"/>
            <color indexed="81"/>
            <rFont val="Tahoma"/>
            <family val="2"/>
          </rPr>
          <t xml:space="preserve">
Sales &gt;= 40000 → High Value
Sales &lt; 40000  → Regular
</t>
        </r>
      </text>
    </comment>
    <comment ref="I2" authorId="0" shapeId="0" xr:uid="{71193DA3-FD56-4697-AA0F-7D6ACEA7B548}">
      <text>
        <r>
          <rPr>
            <b/>
            <sz val="9"/>
            <color indexed="81"/>
            <rFont val="Tahoma"/>
            <charset val="1"/>
          </rPr>
          <t>syed muhammad zaid:</t>
        </r>
        <r>
          <rPr>
            <sz val="9"/>
            <color indexed="81"/>
            <rFont val="Tahoma"/>
            <charset val="1"/>
          </rPr>
          <t xml:space="preserve">
Profit &gt;= 8000 → High Profit
Otherwise      → Normal Profit</t>
        </r>
      </text>
    </comment>
    <comment ref="J2" authorId="0" shapeId="0" xr:uid="{28B02903-41C6-4298-8C18-D81BD683378D}">
      <text>
        <r>
          <rPr>
            <b/>
            <sz val="9"/>
            <color indexed="81"/>
            <rFont val="Tahoma"/>
            <charset val="1"/>
          </rPr>
          <t>syed muhammad zaid:</t>
        </r>
        <r>
          <rPr>
            <sz val="9"/>
            <color indexed="81"/>
            <rFont val="Tahoma"/>
            <charset val="1"/>
          </rPr>
          <t xml:space="preserve">
Sales &gt;= 40000 AND Profit &gt;= 8000
→ Strong Order
Otherwise
→ Normal Order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<sst xmlns="http://schemas.openxmlformats.org/spreadsheetml/2006/main" count="98" uniqueCount="65">
  <si>
    <t>Order_ID</t>
  </si>
  <si>
    <t>Region</t>
  </si>
  <si>
    <t>Category</t>
  </si>
  <si>
    <t>Sales</t>
  </si>
  <si>
    <t>Profit</t>
  </si>
  <si>
    <t>Quantity</t>
  </si>
  <si>
    <t>O001</t>
  </si>
  <si>
    <t>North</t>
  </si>
  <si>
    <t>Electronics</t>
  </si>
  <si>
    <t>O002</t>
  </si>
  <si>
    <t>South</t>
  </si>
  <si>
    <t>Furniture</t>
  </si>
  <si>
    <t>O003</t>
  </si>
  <si>
    <t>O004</t>
  </si>
  <si>
    <t>East</t>
  </si>
  <si>
    <t>O005</t>
  </si>
  <si>
    <t>West</t>
  </si>
  <si>
    <t>Clothing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</si>
  <si>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</si>
  <si>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</si>
  <si>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</si>
  <si>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</si>
  <si>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</si>
  <si>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</si>
  <si>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</si>
  <si>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</si>
  <si>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</si>
  <si>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</si>
  <si>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</si>
  <si>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</si>
  <si>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</si>
  <si>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</si>
  <si>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</si>
  <si>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🛒 Project: Sales Performance Analysis</t>
  </si>
  <si>
    <t>Basic KPIs</t>
  </si>
  <si>
    <t>Q1. Total Sales?</t>
  </si>
  <si>
    <r>
      <t>Q2.</t>
    </r>
    <r>
      <rPr>
        <sz val="11"/>
        <color theme="1"/>
        <rFont val="Calibri"/>
        <family val="2"/>
        <scheme val="minor"/>
      </rPr>
      <t xml:space="preserve"> Total Profit?</t>
    </r>
  </si>
  <si>
    <r>
      <t>Q3.</t>
    </r>
    <r>
      <rPr>
        <sz val="11"/>
        <color theme="1"/>
        <rFont val="Calibri"/>
        <family val="2"/>
        <scheme val="minor"/>
      </rPr>
      <t xml:space="preserve"> Total Orders?</t>
    </r>
  </si>
  <si>
    <r>
      <t>Q4.</t>
    </r>
    <r>
      <rPr>
        <sz val="11"/>
        <color theme="1"/>
        <rFont val="Calibri"/>
        <family val="2"/>
        <scheme val="minor"/>
      </rPr>
      <t xml:space="preserve"> Average Sales per Order?</t>
    </r>
  </si>
  <si>
    <t>Regional Analysis</t>
  </si>
  <si>
    <r>
      <t>Q5.</t>
    </r>
    <r>
      <rPr>
        <sz val="11"/>
        <color theme="1"/>
        <rFont val="Calibri"/>
        <family val="2"/>
        <scheme val="minor"/>
      </rPr>
      <t xml:space="preserve"> North region ki total Sales?</t>
    </r>
  </si>
  <si>
    <r>
      <t>Q6.</t>
    </r>
    <r>
      <rPr>
        <sz val="11"/>
        <color theme="1"/>
        <rFont val="Calibri"/>
        <family val="2"/>
        <scheme val="minor"/>
      </rPr>
      <t xml:space="preserve"> South region ka total Profit?</t>
    </r>
  </si>
  <si>
    <r>
      <t>Q7.</t>
    </r>
    <r>
      <rPr>
        <sz val="11"/>
        <color theme="1"/>
        <rFont val="Calibri"/>
        <family val="2"/>
        <scheme val="minor"/>
      </rPr>
      <t xml:space="preserve"> Kaunsa region highest Sales generate kar raha hai?</t>
    </r>
  </si>
  <si>
    <t>East Total Sale</t>
  </si>
  <si>
    <t>West Total Sale</t>
  </si>
  <si>
    <t>North Total Sale</t>
  </si>
  <si>
    <t>South Total Sale</t>
  </si>
  <si>
    <t>Highest Sale</t>
  </si>
  <si>
    <t>Category Analysis</t>
  </si>
  <si>
    <r>
      <t>Q8.</t>
    </r>
    <r>
      <rPr>
        <sz val="11"/>
        <color theme="1"/>
        <rFont val="Calibri"/>
        <family val="2"/>
        <scheme val="minor"/>
      </rPr>
      <t xml:space="preserve"> Electronics ki total Sales?</t>
    </r>
  </si>
  <si>
    <r>
      <t>Q9.</t>
    </r>
    <r>
      <rPr>
        <sz val="11"/>
        <color theme="1"/>
        <rFont val="Calibri"/>
        <family val="2"/>
        <scheme val="minor"/>
      </rPr>
      <t xml:space="preserve"> Furniture ka average Profit?</t>
    </r>
  </si>
  <si>
    <r>
      <t>Q10.</t>
    </r>
    <r>
      <rPr>
        <sz val="11"/>
        <color theme="1"/>
        <rFont val="Calibri"/>
        <family val="2"/>
        <scheme val="minor"/>
      </rPr>
      <t xml:space="preserve"> Kaunsi category highest average Profit generate karti hai?</t>
    </r>
  </si>
  <si>
    <t>Highest Average profit</t>
  </si>
  <si>
    <t>Clothing Average profit</t>
  </si>
  <si>
    <t>Furniture Average Profit</t>
  </si>
  <si>
    <t>Electronics Average Profit</t>
  </si>
  <si>
    <t>Multi-condition Analysis 🔥</t>
  </si>
  <si>
    <r>
      <t>Q11.</t>
    </r>
    <r>
      <rPr>
        <sz val="11"/>
        <color theme="1"/>
        <rFont val="Calibri"/>
        <family val="2"/>
        <scheme val="minor"/>
      </rPr>
      <t xml:space="preserve"> North + Electronics ki total Sales?</t>
    </r>
  </si>
  <si>
    <r>
      <t>Q12.</t>
    </r>
    <r>
      <rPr>
        <sz val="11"/>
        <color theme="1"/>
        <rFont val="Calibri"/>
        <family val="2"/>
        <scheme val="minor"/>
      </rPr>
      <t xml:space="preserve"> South + Furniture ke total Orders?</t>
    </r>
  </si>
  <si>
    <r>
      <t>Q13.</t>
    </r>
    <r>
      <rPr>
        <sz val="11"/>
        <color theme="1"/>
        <rFont val="Calibri"/>
        <family val="2"/>
        <scheme val="minor"/>
      </rPr>
      <t xml:space="preserve"> East + Electronics ki average Sales?</t>
    </r>
  </si>
  <si>
    <t>Business Conditions</t>
  </si>
  <si>
    <t>Order_Status</t>
  </si>
  <si>
    <t>Profit_Status</t>
  </si>
  <si>
    <t>Order_Type</t>
  </si>
  <si>
    <t xml:space="preserve">titdl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</si>
</sst>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1" fillId="4" borderId="1" xfId="0" applyFont="1" applyFill="1" applyBorder="1"/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1" fontId="0" fillId="0" borderId="1" xfId="0" applyNumberFormat="1" applyBorder="1"/>
    <xf numFmtId="1" fontId="1" fillId="0" borderId="1" xfId="0" applyNumberFormat="1" applyFont="1" applyBorder="1"/>
    <xf numFmtId="0" fontId="4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M1" zoomScaleNormal="100" workbookViewId="0">
      <selection activeCell="O12" sqref="O12"/>
    </sheetView>
  </sheetViews>
  <sheetFormatPr defaultRowHeight="15" x14ac:dyDescent="0.25"/>
  <cols>
    <col min="3" max="3" width="10.42578125" customWidth="1"/>
    <col min="8" max="8" width="20.42578125" bestFit="1" customWidth="1"/>
    <col min="9" max="9" width="13.140625" bestFit="1" customWidth="1"/>
    <col min="10" max="10" width="13.28515625" bestFit="1" customWidth="1"/>
    <col min="11" max="11" width="14.7109375" customWidth="1"/>
    <col min="12" max="12" width="13.28515625" customWidth="1"/>
    <col min="13" max="13" width="50.140625" bestFit="1" customWidth="1"/>
    <col min="14" max="14" width="12.5703125" bestFit="1" customWidth="1"/>
    <col min="16" max="16" width="57.7109375" bestFit="1" customWidth="1"/>
    <col min="17" max="17" width="7" bestFit="1" customWidth="1"/>
  </cols>
  <sheetData>
    <row r="1" spans="1:17" ht="21" x14ac:dyDescent="0.35">
      <c r="A1" s="12" t="s">
        <v>33</v>
      </c>
      <c r="B1" s="12"/>
      <c r="C1" s="12"/>
      <c r="D1" s="12"/>
      <c r="E1" s="12"/>
      <c r="F1" s="12"/>
      <c r="H1" s="17" t="s">
        <v>60</v>
      </c>
      <c r="I1" s="18"/>
      <c r="J1" s="18"/>
      <c r="K1" t="s">
        <v>64</v>
      </c>
    </row>
    <row r="2" spans="1:17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5" t="s">
        <v>61</v>
      </c>
      <c r="I2" s="5" t="s">
        <v>62</v>
      </c>
      <c r="J2" s="5" t="s">
        <v>63</v>
      </c>
      <c r="M2" s="13" t="s">
        <v>34</v>
      </c>
      <c r="N2" s="13"/>
      <c r="P2" s="13" t="s">
        <v>48</v>
      </c>
      <c r="Q2" s="13"/>
    </row>
    <row r="3" spans="1:17" x14ac:dyDescent="0.25">
      <c r="A3" s="2" t="s">
        <v>6</v>
      </c>
      <c r="B3" s="2" t="s">
        <v>7</v>
      </c>
      <c r="C3" s="2" t="s">
        <v>8</v>
      </c>
      <c r="D3" s="2">
        <v>45000</v>
      </c>
      <c r="E3" s="2">
        <v>8000</v>
      </c>
      <c r="F3" s="2">
        <v>2</v>
      </c>
      <c r="H3" s="3" t="str" cm="1">
        <f t="array" ref="H3:H22">_xlfn.IFS(Sales&gt;=40000,"High Value",Sales&lt;40000,"Average")</f>
        <v>High Value</v>
      </c>
      <c r="I3" s="3" t="str" cm="1">
        <f t="array" ref="I3:I22">_xlfn.IFS(Profit&gt;=8000,"High Profit",Profit&lt;8000,"Normal Profit")</f>
        <v>High Profit</v>
      </c>
      <c r="J3" s="3" t="str">
        <f>IF(AND(D3&gt;=40000,E3&gt;=8000),"Strong Order","Normal Order")</f>
        <v>Strong Order</v>
      </c>
      <c r="M3" s="8" t="s">
        <v>35</v>
      </c>
      <c r="N3" s="3">
        <f>SUM(D3:D22)</f>
        <v>713000</v>
      </c>
      <c r="P3" s="4" t="s">
        <v>49</v>
      </c>
      <c r="Q3" s="3">
        <f>SUMIF(C3:C22,"Electronics",D3:D22)</f>
        <v>391000</v>
      </c>
    </row>
    <row r="4" spans="1:17" x14ac:dyDescent="0.25">
      <c r="A4" s="2" t="s">
        <v>9</v>
      </c>
      <c r="B4" s="2" t="s">
        <v>10</v>
      </c>
      <c r="C4" s="2" t="s">
        <v>11</v>
      </c>
      <c r="D4" s="2">
        <v>32000</v>
      </c>
      <c r="E4" s="2">
        <v>6000</v>
      </c>
      <c r="F4" s="2">
        <v>3</v>
      </c>
      <c r="H4" s="3" t="str">
        <v>Average</v>
      </c>
      <c r="I4" s="3" t="str">
        <v>Normal Profit</v>
      </c>
      <c r="J4" s="3" t="str">
        <f t="shared" ref="J4:J22" si="0">IF(AND(D4&gt;=40000,E4&gt;=8000),"Strong Order","Normal Order")</f>
        <v>Normal Order</v>
      </c>
      <c r="M4" s="9" t="s">
        <v>36</v>
      </c>
      <c r="N4" s="3">
        <f>SUM(E3:E22)</f>
        <v>134200</v>
      </c>
      <c r="P4" s="4" t="s">
        <v>50</v>
      </c>
      <c r="Q4" s="10">
        <f>AVERAGEIF(Category,"Furniture",Profit)</f>
        <v>5857.1428571428569</v>
      </c>
    </row>
    <row r="5" spans="1:17" x14ac:dyDescent="0.25">
      <c r="A5" s="2" t="s">
        <v>12</v>
      </c>
      <c r="B5" s="2" t="s">
        <v>7</v>
      </c>
      <c r="C5" s="2" t="s">
        <v>11</v>
      </c>
      <c r="D5" s="2">
        <v>28000</v>
      </c>
      <c r="E5" s="2">
        <v>5000</v>
      </c>
      <c r="F5" s="2">
        <v>2</v>
      </c>
      <c r="H5" s="3" t="str">
        <v>Average</v>
      </c>
      <c r="I5" s="3" t="str">
        <v>Normal Profit</v>
      </c>
      <c r="J5" s="3" t="str">
        <f t="shared" si="0"/>
        <v>Normal Order</v>
      </c>
      <c r="M5" s="9" t="s">
        <v>37</v>
      </c>
      <c r="N5" s="3">
        <f>COUNTA(A3:A22)</f>
        <v>20</v>
      </c>
    </row>
    <row r="6" spans="1:17" x14ac:dyDescent="0.25">
      <c r="A6" s="2" t="s">
        <v>13</v>
      </c>
      <c r="B6" s="2" t="s">
        <v>14</v>
      </c>
      <c r="C6" s="2" t="s">
        <v>8</v>
      </c>
      <c r="D6" s="2">
        <v>52000</v>
      </c>
      <c r="E6" s="2">
        <v>10000</v>
      </c>
      <c r="F6" s="2">
        <v>3</v>
      </c>
      <c r="H6" s="3" t="str">
        <v>High Value</v>
      </c>
      <c r="I6" s="3" t="str">
        <v>High Profit</v>
      </c>
      <c r="J6" s="3" t="str">
        <f t="shared" si="0"/>
        <v>Strong Order</v>
      </c>
      <c r="M6" s="9" t="s">
        <v>38</v>
      </c>
      <c r="N6" s="3">
        <f>AVERAGE(D3:D22)</f>
        <v>35650</v>
      </c>
      <c r="P6" s="4" t="s">
        <v>51</v>
      </c>
      <c r="Q6" s="3"/>
    </row>
    <row r="7" spans="1:17" x14ac:dyDescent="0.25">
      <c r="A7" s="2" t="s">
        <v>15</v>
      </c>
      <c r="B7" s="2" t="s">
        <v>16</v>
      </c>
      <c r="C7" s="2" t="s">
        <v>17</v>
      </c>
      <c r="D7" s="2">
        <v>18000</v>
      </c>
      <c r="E7" s="2">
        <v>4000</v>
      </c>
      <c r="F7" s="2">
        <v>5</v>
      </c>
      <c r="H7" s="3" t="str">
        <v>Average</v>
      </c>
      <c r="I7" s="3" t="str">
        <v>Normal Profit</v>
      </c>
      <c r="J7" s="3" t="str">
        <f t="shared" si="0"/>
        <v>Normal Order</v>
      </c>
      <c r="P7" s="5" t="s">
        <v>53</v>
      </c>
      <c r="Q7" s="6">
        <f>AVERAGE(E3:E22)</f>
        <v>6710</v>
      </c>
    </row>
    <row r="8" spans="1:17" ht="18" x14ac:dyDescent="0.25">
      <c r="A8" s="2" t="s">
        <v>18</v>
      </c>
      <c r="B8" s="2" t="s">
        <v>7</v>
      </c>
      <c r="C8" s="2" t="s">
        <v>8</v>
      </c>
      <c r="D8" s="2">
        <v>61000</v>
      </c>
      <c r="E8" s="2">
        <v>12000</v>
      </c>
      <c r="F8" s="2">
        <v>4</v>
      </c>
      <c r="H8" s="3" t="str">
        <v>High Value</v>
      </c>
      <c r="I8" s="3" t="str">
        <v>High Profit</v>
      </c>
      <c r="J8" s="3" t="str">
        <f t="shared" si="0"/>
        <v>Strong Order</v>
      </c>
      <c r="M8" s="14" t="s">
        <v>39</v>
      </c>
      <c r="N8" s="15"/>
      <c r="P8" s="5" t="s">
        <v>54</v>
      </c>
      <c r="Q8" s="11">
        <f>AVERAGEIF(Category,"Furniture",Profit)</f>
        <v>5857.1428571428569</v>
      </c>
    </row>
    <row r="9" spans="1:17" x14ac:dyDescent="0.25">
      <c r="A9" s="2" t="s">
        <v>19</v>
      </c>
      <c r="B9" s="2" t="s">
        <v>10</v>
      </c>
      <c r="C9" s="2" t="s">
        <v>8</v>
      </c>
      <c r="D9" s="2">
        <v>39000</v>
      </c>
      <c r="E9" s="2">
        <v>7000</v>
      </c>
      <c r="F9" s="2">
        <v>2</v>
      </c>
      <c r="H9" s="3" t="str">
        <v>Average</v>
      </c>
      <c r="I9" s="3" t="str">
        <v>Normal Profit</v>
      </c>
      <c r="J9" s="3" t="str">
        <f t="shared" si="0"/>
        <v>Normal Order</v>
      </c>
      <c r="M9" s="7" t="s">
        <v>40</v>
      </c>
      <c r="N9" s="3">
        <f>SUMIF(B3:B22,"North",D3:D22)</f>
        <v>244000</v>
      </c>
      <c r="P9" s="5" t="s">
        <v>55</v>
      </c>
      <c r="Q9" s="11">
        <f>AVERAGEIF(Category,"Electronics",Profit)</f>
        <v>9187.5</v>
      </c>
    </row>
    <row r="10" spans="1:17" x14ac:dyDescent="0.25">
      <c r="A10" s="2" t="s">
        <v>20</v>
      </c>
      <c r="B10" s="2" t="s">
        <v>14</v>
      </c>
      <c r="C10" s="2" t="s">
        <v>11</v>
      </c>
      <c r="D10" s="2">
        <v>27000</v>
      </c>
      <c r="E10" s="2">
        <v>4500</v>
      </c>
      <c r="F10" s="2">
        <v>2</v>
      </c>
      <c r="H10" s="3" t="str">
        <v>Average</v>
      </c>
      <c r="I10" s="3" t="str">
        <v>Normal Profit</v>
      </c>
      <c r="J10" s="3" t="str">
        <f t="shared" si="0"/>
        <v>Normal Order</v>
      </c>
      <c r="M10" s="7" t="s">
        <v>41</v>
      </c>
      <c r="N10" s="3">
        <f>SUMIF(B3:B22,"South",E3:E22)</f>
        <v>31000</v>
      </c>
      <c r="P10" s="5" t="s">
        <v>52</v>
      </c>
      <c r="Q10" s="6">
        <f>MAX(Q7:Q9)</f>
        <v>9187.5</v>
      </c>
    </row>
    <row r="11" spans="1:17" x14ac:dyDescent="0.25">
      <c r="A11" s="2" t="s">
        <v>21</v>
      </c>
      <c r="B11" s="2" t="s">
        <v>16</v>
      </c>
      <c r="C11" s="2" t="s">
        <v>8</v>
      </c>
      <c r="D11" s="2">
        <v>48000</v>
      </c>
      <c r="E11" s="2">
        <v>9000</v>
      </c>
      <c r="F11" s="2">
        <v>3</v>
      </c>
      <c r="H11" s="3" t="str">
        <v>High Value</v>
      </c>
      <c r="I11" s="3" t="str">
        <v>High Profit</v>
      </c>
      <c r="J11" s="3" t="str">
        <f t="shared" si="0"/>
        <v>Strong Order</v>
      </c>
    </row>
    <row r="12" spans="1:17" ht="15.75" x14ac:dyDescent="0.25">
      <c r="A12" s="2" t="s">
        <v>22</v>
      </c>
      <c r="B12" s="2" t="s">
        <v>7</v>
      </c>
      <c r="C12" s="2" t="s">
        <v>17</v>
      </c>
      <c r="D12" s="2">
        <v>22000</v>
      </c>
      <c r="E12" s="2">
        <v>5000</v>
      </c>
      <c r="F12" s="2">
        <v>6</v>
      </c>
      <c r="H12" s="3" t="str">
        <v>Average</v>
      </c>
      <c r="I12" s="3" t="str">
        <v>Normal Profit</v>
      </c>
      <c r="J12" s="3" t="str">
        <f t="shared" si="0"/>
        <v>Normal Order</v>
      </c>
      <c r="M12" s="7" t="s">
        <v>42</v>
      </c>
      <c r="N12" s="3"/>
      <c r="P12" s="16" t="s">
        <v>56</v>
      </c>
      <c r="Q12" s="16"/>
    </row>
    <row r="13" spans="1:17" x14ac:dyDescent="0.25">
      <c r="A13" s="2" t="s">
        <v>23</v>
      </c>
      <c r="B13" s="2" t="s">
        <v>10</v>
      </c>
      <c r="C13" s="2" t="s">
        <v>11</v>
      </c>
      <c r="D13" s="2">
        <v>35000</v>
      </c>
      <c r="E13" s="2">
        <v>6500</v>
      </c>
      <c r="F13" s="2">
        <v>3</v>
      </c>
      <c r="H13" s="3" t="str">
        <v>Average</v>
      </c>
      <c r="I13" s="3" t="str">
        <v>Normal Profit</v>
      </c>
      <c r="J13" s="3" t="str">
        <f t="shared" si="0"/>
        <v>Normal Order</v>
      </c>
      <c r="M13" s="9" t="s">
        <v>45</v>
      </c>
      <c r="N13" s="3">
        <f>SUMIF(B3:B22,"North",D3:D22)</f>
        <v>244000</v>
      </c>
      <c r="P13" s="4" t="s">
        <v>57</v>
      </c>
      <c r="Q13" s="3">
        <f>SUMIFS(Sales,Region,"North",Category,"Electronics")</f>
        <v>161000</v>
      </c>
    </row>
    <row r="14" spans="1:17" x14ac:dyDescent="0.25">
      <c r="A14" s="2" t="s">
        <v>24</v>
      </c>
      <c r="B14" s="2" t="s">
        <v>14</v>
      </c>
      <c r="C14" s="2" t="s">
        <v>17</v>
      </c>
      <c r="D14" s="2">
        <v>16000</v>
      </c>
      <c r="E14" s="2">
        <v>3000</v>
      </c>
      <c r="F14" s="2">
        <v>4</v>
      </c>
      <c r="H14" s="3" t="str">
        <v>Average</v>
      </c>
      <c r="I14" s="3" t="str">
        <v>Normal Profit</v>
      </c>
      <c r="J14" s="3" t="str">
        <f t="shared" si="0"/>
        <v>Normal Order</v>
      </c>
      <c r="M14" s="9" t="s">
        <v>46</v>
      </c>
      <c r="N14" s="3">
        <f>SUMIF(B3:B22,"South",D3:D22)</f>
        <v>169000</v>
      </c>
      <c r="P14" s="4" t="s">
        <v>58</v>
      </c>
      <c r="Q14" s="3">
        <f>COUNTIFS(Region,"South",Category,"Furniture")</f>
        <v>2</v>
      </c>
    </row>
    <row r="15" spans="1:17" x14ac:dyDescent="0.25">
      <c r="A15" s="2" t="s">
        <v>25</v>
      </c>
      <c r="B15" s="2" t="s">
        <v>16</v>
      </c>
      <c r="C15" s="2" t="s">
        <v>11</v>
      </c>
      <c r="D15" s="2">
        <v>41000</v>
      </c>
      <c r="E15" s="2">
        <v>7500</v>
      </c>
      <c r="F15" s="2">
        <v>2</v>
      </c>
      <c r="H15" s="3" t="str">
        <v>High Value</v>
      </c>
      <c r="I15" s="3" t="str">
        <v>Normal Profit</v>
      </c>
      <c r="J15" s="3" t="str">
        <f t="shared" si="0"/>
        <v>Normal Order</v>
      </c>
      <c r="M15" s="9" t="s">
        <v>43</v>
      </c>
      <c r="N15" s="3">
        <f>SUMIF(B3:B22,"East",D3:D22)</f>
        <v>172000</v>
      </c>
      <c r="P15" s="4" t="s">
        <v>59</v>
      </c>
      <c r="Q15" s="3">
        <f>AVERAGEIFS(Sales,Region,"East",Category,"Electronics")</f>
        <v>49500</v>
      </c>
    </row>
    <row r="16" spans="1:17" x14ac:dyDescent="0.25">
      <c r="A16" s="2" t="s">
        <v>26</v>
      </c>
      <c r="B16" s="2" t="s">
        <v>7</v>
      </c>
      <c r="C16" s="2" t="s">
        <v>8</v>
      </c>
      <c r="D16" s="2">
        <v>55000</v>
      </c>
      <c r="E16" s="2">
        <v>11000</v>
      </c>
      <c r="F16" s="2">
        <v>3</v>
      </c>
      <c r="H16" s="3" t="str">
        <v>High Value</v>
      </c>
      <c r="I16" s="3" t="str">
        <v>High Profit</v>
      </c>
      <c r="J16" s="3" t="str">
        <f t="shared" si="0"/>
        <v>Strong Order</v>
      </c>
      <c r="M16" s="9" t="s">
        <v>44</v>
      </c>
      <c r="N16" s="3">
        <f>SUMIF(B3:B22,"West",D3:D22)</f>
        <v>128000</v>
      </c>
    </row>
    <row r="17" spans="1:14" x14ac:dyDescent="0.25">
      <c r="A17" s="2" t="s">
        <v>27</v>
      </c>
      <c r="B17" s="2" t="s">
        <v>10</v>
      </c>
      <c r="C17" s="2" t="s">
        <v>17</v>
      </c>
      <c r="D17" s="2">
        <v>19000</v>
      </c>
      <c r="E17" s="2">
        <v>3500</v>
      </c>
      <c r="F17" s="2">
        <v>5</v>
      </c>
      <c r="H17" s="3" t="str">
        <v>Average</v>
      </c>
      <c r="I17" s="3" t="str">
        <v>Normal Profit</v>
      </c>
      <c r="J17" s="3" t="str">
        <f t="shared" si="0"/>
        <v>Normal Order</v>
      </c>
      <c r="M17" s="9" t="s">
        <v>47</v>
      </c>
      <c r="N17" s="3">
        <f>MAX((N13:N16))</f>
        <v>244000</v>
      </c>
    </row>
    <row r="18" spans="1:14" x14ac:dyDescent="0.25">
      <c r="A18" s="2" t="s">
        <v>28</v>
      </c>
      <c r="B18" s="2" t="s">
        <v>14</v>
      </c>
      <c r="C18" s="2" t="s">
        <v>8</v>
      </c>
      <c r="D18" s="2">
        <v>47000</v>
      </c>
      <c r="E18" s="2">
        <v>8500</v>
      </c>
      <c r="F18" s="2">
        <v>2</v>
      </c>
      <c r="H18" s="3" t="str">
        <v>High Value</v>
      </c>
      <c r="I18" s="3" t="str">
        <v>High Profit</v>
      </c>
      <c r="J18" s="3" t="str">
        <f t="shared" si="0"/>
        <v>Strong Order</v>
      </c>
    </row>
    <row r="19" spans="1:14" x14ac:dyDescent="0.25">
      <c r="A19" s="2" t="s">
        <v>29</v>
      </c>
      <c r="B19" s="2" t="s">
        <v>16</v>
      </c>
      <c r="C19" s="2" t="s">
        <v>17</v>
      </c>
      <c r="D19" s="2">
        <v>21000</v>
      </c>
      <c r="E19" s="2">
        <v>4200</v>
      </c>
      <c r="F19" s="2">
        <v>4</v>
      </c>
      <c r="H19" s="3" t="str">
        <v>Average</v>
      </c>
      <c r="I19" s="3" t="str">
        <v>Normal Profit</v>
      </c>
      <c r="J19" s="3" t="str">
        <f t="shared" si="0"/>
        <v>Normal Order</v>
      </c>
    </row>
    <row r="20" spans="1:14" x14ac:dyDescent="0.25">
      <c r="A20" s="2" t="s">
        <v>30</v>
      </c>
      <c r="B20" s="2" t="s">
        <v>7</v>
      </c>
      <c r="C20" s="2" t="s">
        <v>11</v>
      </c>
      <c r="D20" s="2">
        <v>33000</v>
      </c>
      <c r="E20" s="2">
        <v>6000</v>
      </c>
      <c r="F20" s="2">
        <v>3</v>
      </c>
      <c r="H20" s="3" t="str">
        <v>Average</v>
      </c>
      <c r="I20" s="3" t="str">
        <v>Normal Profit</v>
      </c>
      <c r="J20" s="3" t="str">
        <f t="shared" si="0"/>
        <v>Normal Order</v>
      </c>
    </row>
    <row r="21" spans="1:14" x14ac:dyDescent="0.25">
      <c r="A21" s="2" t="s">
        <v>31</v>
      </c>
      <c r="B21" s="2" t="s">
        <v>10</v>
      </c>
      <c r="C21" s="2" t="s">
        <v>8</v>
      </c>
      <c r="D21" s="2">
        <v>44000</v>
      </c>
      <c r="E21" s="2">
        <v>8000</v>
      </c>
      <c r="F21" s="2">
        <v>3</v>
      </c>
      <c r="H21" s="3" t="str">
        <v>High Value</v>
      </c>
      <c r="I21" s="3" t="str">
        <v>High Profit</v>
      </c>
      <c r="J21" s="3" t="str">
        <f t="shared" si="0"/>
        <v>Strong Order</v>
      </c>
    </row>
    <row r="22" spans="1:14" x14ac:dyDescent="0.25">
      <c r="A22" s="2" t="s">
        <v>32</v>
      </c>
      <c r="B22" s="2" t="s">
        <v>14</v>
      </c>
      <c r="C22" s="2" t="s">
        <v>11</v>
      </c>
      <c r="D22" s="2">
        <v>30000</v>
      </c>
      <c r="E22" s="2">
        <v>5500</v>
      </c>
      <c r="F22" s="2">
        <v>2</v>
      </c>
      <c r="H22" s="3" t="str">
        <v>Average</v>
      </c>
      <c r="I22" s="3" t="str">
        <v>Normal Profit</v>
      </c>
      <c r="J22" s="3" t="str">
        <f t="shared" si="0"/>
        <v>Normal Order</v>
      </c>
    </row>
  </sheetData>
  <mergeCells count="6">
    <mergeCell ref="A1:F1"/>
    <mergeCell ref="M2:N2"/>
    <mergeCell ref="M8:N8"/>
    <mergeCell ref="P2:Q2"/>
    <mergeCell ref="P12:Q12"/>
    <mergeCell ref="H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Project</vt:lpstr>
      <vt:lpstr>Category</vt:lpstr>
      <vt:lpstr>Order_ID</vt:lpstr>
      <vt:lpstr>Profit</vt:lpstr>
      <vt:lpstr>Quantity</vt:lpstr>
      <vt:lpstr>Region</vt:lpstr>
      <vt:lpstr>Sales</vt:lpstr>
      <vt:lpstr>🛒_Project__Sales_Performance_Analysis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2026-09-09T16:46:59Z</dcterms:modified>
</cp:coreProperties>
</file>