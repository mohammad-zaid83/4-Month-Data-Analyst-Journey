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Final_Project\"/>
    </mc:Choice>
  </mc:AlternateContent>
  <xr:revisionPtr revIDLastSave="0" documentId="13_ncr:1_{A69E3D47-01CF-41D9-9F33-C9A8F76CC3C2}" xr6:coauthVersionLast="47" xr6:coauthVersionMax="47" xr10:uidLastSave="{00000000-0000-0000-0000-000000000000}"/>
  <bookViews>
    <workbookView xWindow="-120" yWindow="-120" windowWidth="20730" windowHeight="11040" tabRatio="992" activeTab="1" xr2:uid="{00000000-000D-0000-FFFF-FFFF00000000}"/>
  </bookViews>
  <sheets>
    <sheet name="Raw_Data" sheetId="5" r:id="rId1"/>
    <sheet name="Clean_Data" sheetId="4" r:id="rId2"/>
    <sheet name="Analysis" sheetId="2" r:id="rId3"/>
    <sheet name="Pivot_Analysis" sheetId="3" r:id="rId4"/>
    <sheet name="Product_Master" sheetId="6" r:id="rId5"/>
    <sheet name="Employee_Master" sheetId="7" r:id="rId6"/>
    <sheet name="Assumptions" sheetId="8" r:id="rId7"/>
    <sheet name="Data_Quality_Log" sheetId="9" r:id="rId8"/>
    <sheet name="Notes_README" sheetId="10" r:id="rId9"/>
    <sheet name="Chart_Data" sheetId="11" r:id="rId10"/>
  </sheets>
  <definedNames>
    <definedName name="_xlnm._FilterDatabase" localSheetId="5" hidden="1">Employee_Master!$A$1:$C$9</definedName>
    <definedName name="_xlnm._FilterDatabase" localSheetId="4" hidden="1">Product_Master!$A$1:$D$11</definedName>
    <definedName name="_xlnm._FilterDatabase" localSheetId="0" hidden="1">Raw_Data!$A$1:$I$121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11" l="1"/>
  <c r="B3" i="11"/>
  <c r="C28" i="9"/>
  <c r="C26" i="9"/>
  <c r="D28" i="9" s="1"/>
  <c r="U118" i="4"/>
  <c r="N118" i="4"/>
  <c r="W118" i="4" s="1"/>
  <c r="M118" i="4"/>
  <c r="L118" i="4"/>
  <c r="O118" i="4" s="1"/>
  <c r="K118" i="4"/>
  <c r="J118" i="4"/>
  <c r="U117" i="4"/>
  <c r="N117" i="4"/>
  <c r="W117" i="4" s="1"/>
  <c r="M117" i="4"/>
  <c r="L117" i="4"/>
  <c r="O117" i="4" s="1"/>
  <c r="K117" i="4"/>
  <c r="J117" i="4"/>
  <c r="U116" i="4"/>
  <c r="N116" i="4"/>
  <c r="W116" i="4" s="1"/>
  <c r="M116" i="4"/>
  <c r="L116" i="4"/>
  <c r="O116" i="4" s="1"/>
  <c r="K116" i="4"/>
  <c r="J116" i="4"/>
  <c r="U115" i="4"/>
  <c r="N115" i="4"/>
  <c r="W115" i="4" s="1"/>
  <c r="M115" i="4"/>
  <c r="L115" i="4"/>
  <c r="O115" i="4" s="1"/>
  <c r="K115" i="4"/>
  <c r="J115" i="4"/>
  <c r="U114" i="4"/>
  <c r="N114" i="4"/>
  <c r="W114" i="4" s="1"/>
  <c r="M114" i="4"/>
  <c r="L114" i="4"/>
  <c r="O114" i="4" s="1"/>
  <c r="K114" i="4"/>
  <c r="J114" i="4"/>
  <c r="U113" i="4"/>
  <c r="N113" i="4"/>
  <c r="W113" i="4" s="1"/>
  <c r="M113" i="4"/>
  <c r="L113" i="4"/>
  <c r="O113" i="4" s="1"/>
  <c r="K113" i="4"/>
  <c r="J113" i="4"/>
  <c r="U112" i="4"/>
  <c r="N112" i="4"/>
  <c r="W112" i="4" s="1"/>
  <c r="M112" i="4"/>
  <c r="L112" i="4"/>
  <c r="O112" i="4" s="1"/>
  <c r="K112" i="4"/>
  <c r="J112" i="4"/>
  <c r="U111" i="4"/>
  <c r="N111" i="4"/>
  <c r="W111" i="4" s="1"/>
  <c r="M111" i="4"/>
  <c r="L111" i="4"/>
  <c r="O111" i="4" s="1"/>
  <c r="K111" i="4"/>
  <c r="J111" i="4"/>
  <c r="U110" i="4"/>
  <c r="N110" i="4"/>
  <c r="W110" i="4" s="1"/>
  <c r="M110" i="4"/>
  <c r="L110" i="4"/>
  <c r="O110" i="4" s="1"/>
  <c r="K110" i="4"/>
  <c r="J110" i="4"/>
  <c r="U109" i="4"/>
  <c r="N109" i="4"/>
  <c r="W109" i="4" s="1"/>
  <c r="M109" i="4"/>
  <c r="L109" i="4"/>
  <c r="O109" i="4" s="1"/>
  <c r="K109" i="4"/>
  <c r="J109" i="4"/>
  <c r="U108" i="4"/>
  <c r="N108" i="4"/>
  <c r="W108" i="4" s="1"/>
  <c r="M108" i="4"/>
  <c r="L108" i="4"/>
  <c r="O108" i="4" s="1"/>
  <c r="K108" i="4"/>
  <c r="J108" i="4"/>
  <c r="U107" i="4"/>
  <c r="N107" i="4"/>
  <c r="W107" i="4" s="1"/>
  <c r="M107" i="4"/>
  <c r="L107" i="4"/>
  <c r="O107" i="4" s="1"/>
  <c r="K107" i="4"/>
  <c r="J107" i="4"/>
  <c r="U106" i="4"/>
  <c r="N106" i="4"/>
  <c r="W106" i="4" s="1"/>
  <c r="M106" i="4"/>
  <c r="L106" i="4"/>
  <c r="O106" i="4" s="1"/>
  <c r="K106" i="4"/>
  <c r="J106" i="4"/>
  <c r="U105" i="4"/>
  <c r="N105" i="4"/>
  <c r="W105" i="4" s="1"/>
  <c r="M105" i="4"/>
  <c r="L105" i="4"/>
  <c r="O105" i="4" s="1"/>
  <c r="K105" i="4"/>
  <c r="J105" i="4"/>
  <c r="U104" i="4"/>
  <c r="N104" i="4"/>
  <c r="W104" i="4" s="1"/>
  <c r="M104" i="4"/>
  <c r="L104" i="4"/>
  <c r="O104" i="4" s="1"/>
  <c r="K104" i="4"/>
  <c r="J104" i="4"/>
  <c r="W103" i="4"/>
  <c r="U103" i="4"/>
  <c r="N103" i="4"/>
  <c r="M103" i="4"/>
  <c r="L103" i="4"/>
  <c r="O103" i="4" s="1"/>
  <c r="K103" i="4"/>
  <c r="J103" i="4"/>
  <c r="U102" i="4"/>
  <c r="N102" i="4"/>
  <c r="W102" i="4" s="1"/>
  <c r="M102" i="4"/>
  <c r="L102" i="4"/>
  <c r="O102" i="4" s="1"/>
  <c r="K102" i="4"/>
  <c r="J102" i="4"/>
  <c r="U101" i="4"/>
  <c r="N101" i="4"/>
  <c r="W101" i="4" s="1"/>
  <c r="M101" i="4"/>
  <c r="L101" i="4"/>
  <c r="O101" i="4" s="1"/>
  <c r="K101" i="4"/>
  <c r="J101" i="4"/>
  <c r="U100" i="4"/>
  <c r="N100" i="4"/>
  <c r="W100" i="4" s="1"/>
  <c r="M100" i="4"/>
  <c r="L100" i="4"/>
  <c r="O100" i="4" s="1"/>
  <c r="K100" i="4"/>
  <c r="J100" i="4"/>
  <c r="U99" i="4"/>
  <c r="N99" i="4"/>
  <c r="W99" i="4" s="1"/>
  <c r="M99" i="4"/>
  <c r="L99" i="4"/>
  <c r="O99" i="4" s="1"/>
  <c r="K99" i="4"/>
  <c r="J99" i="4"/>
  <c r="U98" i="4"/>
  <c r="N98" i="4"/>
  <c r="W98" i="4" s="1"/>
  <c r="M98" i="4"/>
  <c r="L98" i="4"/>
  <c r="O98" i="4" s="1"/>
  <c r="K98" i="4"/>
  <c r="J98" i="4"/>
  <c r="U97" i="4"/>
  <c r="N97" i="4"/>
  <c r="W97" i="4" s="1"/>
  <c r="M97" i="4"/>
  <c r="L97" i="4"/>
  <c r="O97" i="4" s="1"/>
  <c r="K97" i="4"/>
  <c r="J97" i="4"/>
  <c r="U96" i="4"/>
  <c r="N96" i="4"/>
  <c r="W96" i="4" s="1"/>
  <c r="M96" i="4"/>
  <c r="L96" i="4"/>
  <c r="O96" i="4" s="1"/>
  <c r="K96" i="4"/>
  <c r="J96" i="4"/>
  <c r="U95" i="4"/>
  <c r="N95" i="4"/>
  <c r="W95" i="4" s="1"/>
  <c r="M95" i="4"/>
  <c r="L95" i="4"/>
  <c r="O95" i="4" s="1"/>
  <c r="K95" i="4"/>
  <c r="J95" i="4"/>
  <c r="U94" i="4"/>
  <c r="N94" i="4"/>
  <c r="W94" i="4" s="1"/>
  <c r="M94" i="4"/>
  <c r="L94" i="4"/>
  <c r="O94" i="4" s="1"/>
  <c r="K94" i="4"/>
  <c r="J94" i="4"/>
  <c r="U93" i="4"/>
  <c r="N93" i="4"/>
  <c r="W93" i="4" s="1"/>
  <c r="M93" i="4"/>
  <c r="L93" i="4"/>
  <c r="O93" i="4" s="1"/>
  <c r="K93" i="4"/>
  <c r="J93" i="4"/>
  <c r="U92" i="4"/>
  <c r="N92" i="4"/>
  <c r="W92" i="4" s="1"/>
  <c r="M92" i="4"/>
  <c r="L92" i="4"/>
  <c r="O92" i="4" s="1"/>
  <c r="K92" i="4"/>
  <c r="J92" i="4"/>
  <c r="U91" i="4"/>
  <c r="N91" i="4"/>
  <c r="W91" i="4" s="1"/>
  <c r="M91" i="4"/>
  <c r="L91" i="4"/>
  <c r="O91" i="4" s="1"/>
  <c r="K91" i="4"/>
  <c r="J91" i="4"/>
  <c r="U90" i="4"/>
  <c r="N90" i="4"/>
  <c r="W90" i="4" s="1"/>
  <c r="M90" i="4"/>
  <c r="L90" i="4"/>
  <c r="O90" i="4" s="1"/>
  <c r="K90" i="4"/>
  <c r="J90" i="4"/>
  <c r="U89" i="4"/>
  <c r="N89" i="4"/>
  <c r="W89" i="4" s="1"/>
  <c r="M89" i="4"/>
  <c r="L89" i="4"/>
  <c r="O89" i="4" s="1"/>
  <c r="K89" i="4"/>
  <c r="J89" i="4"/>
  <c r="U88" i="4"/>
  <c r="N88" i="4"/>
  <c r="W88" i="4" s="1"/>
  <c r="M88" i="4"/>
  <c r="L88" i="4"/>
  <c r="O88" i="4" s="1"/>
  <c r="K88" i="4"/>
  <c r="J88" i="4"/>
  <c r="U87" i="4"/>
  <c r="N87" i="4"/>
  <c r="W87" i="4" s="1"/>
  <c r="M87" i="4"/>
  <c r="L87" i="4"/>
  <c r="O87" i="4" s="1"/>
  <c r="K87" i="4"/>
  <c r="J87" i="4"/>
  <c r="U86" i="4"/>
  <c r="N86" i="4"/>
  <c r="W86" i="4" s="1"/>
  <c r="M86" i="4"/>
  <c r="L86" i="4"/>
  <c r="O86" i="4" s="1"/>
  <c r="K86" i="4"/>
  <c r="J86" i="4"/>
  <c r="U85" i="4"/>
  <c r="N85" i="4"/>
  <c r="W85" i="4" s="1"/>
  <c r="M85" i="4"/>
  <c r="L85" i="4"/>
  <c r="O85" i="4" s="1"/>
  <c r="K85" i="4"/>
  <c r="J85" i="4"/>
  <c r="U84" i="4"/>
  <c r="N84" i="4"/>
  <c r="W84" i="4" s="1"/>
  <c r="M84" i="4"/>
  <c r="L84" i="4"/>
  <c r="O84" i="4" s="1"/>
  <c r="K84" i="4"/>
  <c r="J84" i="4"/>
  <c r="U83" i="4"/>
  <c r="N83" i="4"/>
  <c r="W83" i="4" s="1"/>
  <c r="M83" i="4"/>
  <c r="L83" i="4"/>
  <c r="O83" i="4" s="1"/>
  <c r="K83" i="4"/>
  <c r="J83" i="4"/>
  <c r="U82" i="4"/>
  <c r="N82" i="4"/>
  <c r="W82" i="4" s="1"/>
  <c r="M82" i="4"/>
  <c r="L82" i="4"/>
  <c r="O82" i="4" s="1"/>
  <c r="K82" i="4"/>
  <c r="J82" i="4"/>
  <c r="U81" i="4"/>
  <c r="N81" i="4"/>
  <c r="W81" i="4" s="1"/>
  <c r="M81" i="4"/>
  <c r="L81" i="4"/>
  <c r="O81" i="4" s="1"/>
  <c r="K81" i="4"/>
  <c r="J81" i="4"/>
  <c r="U80" i="4"/>
  <c r="N80" i="4"/>
  <c r="W80" i="4" s="1"/>
  <c r="M80" i="4"/>
  <c r="L80" i="4"/>
  <c r="O80" i="4" s="1"/>
  <c r="K80" i="4"/>
  <c r="J80" i="4"/>
  <c r="U79" i="4"/>
  <c r="N79" i="4"/>
  <c r="W79" i="4" s="1"/>
  <c r="M79" i="4"/>
  <c r="L79" i="4"/>
  <c r="O79" i="4" s="1"/>
  <c r="K79" i="4"/>
  <c r="J79" i="4"/>
  <c r="U78" i="4"/>
  <c r="N78" i="4"/>
  <c r="W78" i="4" s="1"/>
  <c r="M78" i="4"/>
  <c r="L78" i="4"/>
  <c r="O78" i="4" s="1"/>
  <c r="K78" i="4"/>
  <c r="J78" i="4"/>
  <c r="U77" i="4"/>
  <c r="N77" i="4"/>
  <c r="W77" i="4" s="1"/>
  <c r="M77" i="4"/>
  <c r="L77" i="4"/>
  <c r="O77" i="4" s="1"/>
  <c r="K77" i="4"/>
  <c r="J77" i="4"/>
  <c r="U76" i="4"/>
  <c r="N76" i="4"/>
  <c r="W76" i="4" s="1"/>
  <c r="M76" i="4"/>
  <c r="L76" i="4"/>
  <c r="O76" i="4" s="1"/>
  <c r="K76" i="4"/>
  <c r="J76" i="4"/>
  <c r="U75" i="4"/>
  <c r="N75" i="4"/>
  <c r="W75" i="4" s="1"/>
  <c r="M75" i="4"/>
  <c r="L75" i="4"/>
  <c r="O75" i="4" s="1"/>
  <c r="K75" i="4"/>
  <c r="J75" i="4"/>
  <c r="U74" i="4"/>
  <c r="N74" i="4"/>
  <c r="W74" i="4" s="1"/>
  <c r="M74" i="4"/>
  <c r="L74" i="4"/>
  <c r="O74" i="4" s="1"/>
  <c r="K74" i="4"/>
  <c r="J74" i="4"/>
  <c r="U73" i="4"/>
  <c r="N73" i="4"/>
  <c r="W73" i="4" s="1"/>
  <c r="M73" i="4"/>
  <c r="L73" i="4"/>
  <c r="O73" i="4" s="1"/>
  <c r="K73" i="4"/>
  <c r="J73" i="4"/>
  <c r="U72" i="4"/>
  <c r="N72" i="4"/>
  <c r="W72" i="4" s="1"/>
  <c r="M72" i="4"/>
  <c r="L72" i="4"/>
  <c r="O72" i="4" s="1"/>
  <c r="K72" i="4"/>
  <c r="J72" i="4"/>
  <c r="U71" i="4"/>
  <c r="N71" i="4"/>
  <c r="W71" i="4" s="1"/>
  <c r="M71" i="4"/>
  <c r="L71" i="4"/>
  <c r="O71" i="4" s="1"/>
  <c r="K71" i="4"/>
  <c r="J71" i="4"/>
  <c r="U70" i="4"/>
  <c r="N70" i="4"/>
  <c r="W70" i="4" s="1"/>
  <c r="M70" i="4"/>
  <c r="L70" i="4"/>
  <c r="O70" i="4" s="1"/>
  <c r="K70" i="4"/>
  <c r="J70" i="4"/>
  <c r="U69" i="4"/>
  <c r="N69" i="4"/>
  <c r="W69" i="4" s="1"/>
  <c r="M69" i="4"/>
  <c r="L69" i="4"/>
  <c r="O69" i="4" s="1"/>
  <c r="K69" i="4"/>
  <c r="J69" i="4"/>
  <c r="U68" i="4"/>
  <c r="N68" i="4"/>
  <c r="W68" i="4" s="1"/>
  <c r="M68" i="4"/>
  <c r="L68" i="4"/>
  <c r="O68" i="4" s="1"/>
  <c r="K68" i="4"/>
  <c r="J68" i="4"/>
  <c r="U67" i="4"/>
  <c r="N67" i="4"/>
  <c r="W67" i="4" s="1"/>
  <c r="M67" i="4"/>
  <c r="L67" i="4"/>
  <c r="O67" i="4" s="1"/>
  <c r="K67" i="4"/>
  <c r="J67" i="4"/>
  <c r="W66" i="4"/>
  <c r="U66" i="4"/>
  <c r="N66" i="4"/>
  <c r="M66" i="4"/>
  <c r="L66" i="4"/>
  <c r="O66" i="4" s="1"/>
  <c r="K66" i="4"/>
  <c r="J66" i="4"/>
  <c r="U65" i="4"/>
  <c r="N65" i="4"/>
  <c r="W65" i="4" s="1"/>
  <c r="M65" i="4"/>
  <c r="L65" i="4"/>
  <c r="O65" i="4" s="1"/>
  <c r="K65" i="4"/>
  <c r="J65" i="4"/>
  <c r="U64" i="4"/>
  <c r="N64" i="4"/>
  <c r="W64" i="4" s="1"/>
  <c r="M64" i="4"/>
  <c r="L64" i="4"/>
  <c r="O64" i="4" s="1"/>
  <c r="K64" i="4"/>
  <c r="J64" i="4"/>
  <c r="U63" i="4"/>
  <c r="N63" i="4"/>
  <c r="W63" i="4" s="1"/>
  <c r="M63" i="4"/>
  <c r="L63" i="4"/>
  <c r="O63" i="4" s="1"/>
  <c r="K63" i="4"/>
  <c r="J63" i="4"/>
  <c r="U62" i="4"/>
  <c r="N62" i="4"/>
  <c r="W62" i="4" s="1"/>
  <c r="M62" i="4"/>
  <c r="L62" i="4"/>
  <c r="O62" i="4" s="1"/>
  <c r="K62" i="4"/>
  <c r="J62" i="4"/>
  <c r="U61" i="4"/>
  <c r="N61" i="4"/>
  <c r="W61" i="4" s="1"/>
  <c r="M61" i="4"/>
  <c r="L61" i="4"/>
  <c r="O61" i="4" s="1"/>
  <c r="K61" i="4"/>
  <c r="J61" i="4"/>
  <c r="U60" i="4"/>
  <c r="N60" i="4"/>
  <c r="W60" i="4" s="1"/>
  <c r="M60" i="4"/>
  <c r="L60" i="4"/>
  <c r="O60" i="4" s="1"/>
  <c r="K60" i="4"/>
  <c r="J60" i="4"/>
  <c r="U59" i="4"/>
  <c r="N59" i="4"/>
  <c r="W59" i="4" s="1"/>
  <c r="M59" i="4"/>
  <c r="L59" i="4"/>
  <c r="O59" i="4" s="1"/>
  <c r="K59" i="4"/>
  <c r="J59" i="4"/>
  <c r="U58" i="4"/>
  <c r="N58" i="4"/>
  <c r="W58" i="4" s="1"/>
  <c r="M58" i="4"/>
  <c r="L58" i="4"/>
  <c r="O58" i="4" s="1"/>
  <c r="K58" i="4"/>
  <c r="J58" i="4"/>
  <c r="U57" i="4"/>
  <c r="N57" i="4"/>
  <c r="W57" i="4" s="1"/>
  <c r="M57" i="4"/>
  <c r="L57" i="4"/>
  <c r="O57" i="4" s="1"/>
  <c r="K57" i="4"/>
  <c r="J57" i="4"/>
  <c r="U56" i="4"/>
  <c r="N56" i="4"/>
  <c r="W56" i="4" s="1"/>
  <c r="M56" i="4"/>
  <c r="L56" i="4"/>
  <c r="O56" i="4" s="1"/>
  <c r="K56" i="4"/>
  <c r="J56" i="4"/>
  <c r="U55" i="4"/>
  <c r="N55" i="4"/>
  <c r="W55" i="4" s="1"/>
  <c r="M55" i="4"/>
  <c r="L55" i="4"/>
  <c r="O55" i="4" s="1"/>
  <c r="K55" i="4"/>
  <c r="J55" i="4"/>
  <c r="U54" i="4"/>
  <c r="N54" i="4"/>
  <c r="W54" i="4" s="1"/>
  <c r="M54" i="4"/>
  <c r="L54" i="4"/>
  <c r="O54" i="4" s="1"/>
  <c r="K54" i="4"/>
  <c r="J54" i="4"/>
  <c r="U53" i="4"/>
  <c r="N53" i="4"/>
  <c r="W53" i="4" s="1"/>
  <c r="M53" i="4"/>
  <c r="L53" i="4"/>
  <c r="O53" i="4" s="1"/>
  <c r="K53" i="4"/>
  <c r="J53" i="4"/>
  <c r="U52" i="4"/>
  <c r="N52" i="4"/>
  <c r="W52" i="4" s="1"/>
  <c r="M52" i="4"/>
  <c r="L52" i="4"/>
  <c r="O52" i="4" s="1"/>
  <c r="K52" i="4"/>
  <c r="J52" i="4"/>
  <c r="U51" i="4"/>
  <c r="N51" i="4"/>
  <c r="W51" i="4" s="1"/>
  <c r="M51" i="4"/>
  <c r="L51" i="4"/>
  <c r="O51" i="4" s="1"/>
  <c r="K51" i="4"/>
  <c r="J51" i="4"/>
  <c r="U50" i="4"/>
  <c r="N50" i="4"/>
  <c r="W50" i="4" s="1"/>
  <c r="M50" i="4"/>
  <c r="L50" i="4"/>
  <c r="O50" i="4" s="1"/>
  <c r="K50" i="4"/>
  <c r="J50" i="4"/>
  <c r="U49" i="4"/>
  <c r="N49" i="4"/>
  <c r="W49" i="4" s="1"/>
  <c r="M49" i="4"/>
  <c r="L49" i="4"/>
  <c r="O49" i="4" s="1"/>
  <c r="K49" i="4"/>
  <c r="J49" i="4"/>
  <c r="U48" i="4"/>
  <c r="N48" i="4"/>
  <c r="W48" i="4" s="1"/>
  <c r="M48" i="4"/>
  <c r="L48" i="4"/>
  <c r="O48" i="4" s="1"/>
  <c r="K48" i="4"/>
  <c r="J48" i="4"/>
  <c r="U47" i="4"/>
  <c r="N47" i="4"/>
  <c r="W47" i="4" s="1"/>
  <c r="M47" i="4"/>
  <c r="L47" i="4"/>
  <c r="O47" i="4" s="1"/>
  <c r="K47" i="4"/>
  <c r="J47" i="4"/>
  <c r="U46" i="4"/>
  <c r="N46" i="4"/>
  <c r="W46" i="4" s="1"/>
  <c r="M46" i="4"/>
  <c r="L46" i="4"/>
  <c r="O46" i="4" s="1"/>
  <c r="K46" i="4"/>
  <c r="J46" i="4"/>
  <c r="U45" i="4"/>
  <c r="N45" i="4"/>
  <c r="W45" i="4" s="1"/>
  <c r="M45" i="4"/>
  <c r="L45" i="4"/>
  <c r="O45" i="4" s="1"/>
  <c r="K45" i="4"/>
  <c r="J45" i="4"/>
  <c r="U44" i="4"/>
  <c r="N44" i="4"/>
  <c r="W44" i="4" s="1"/>
  <c r="M44" i="4"/>
  <c r="L44" i="4"/>
  <c r="O44" i="4" s="1"/>
  <c r="K44" i="4"/>
  <c r="J44" i="4"/>
  <c r="U43" i="4"/>
  <c r="N43" i="4"/>
  <c r="W43" i="4" s="1"/>
  <c r="M43" i="4"/>
  <c r="L43" i="4"/>
  <c r="O43" i="4" s="1"/>
  <c r="K43" i="4"/>
  <c r="J43" i="4"/>
  <c r="U42" i="4"/>
  <c r="N42" i="4"/>
  <c r="W42" i="4" s="1"/>
  <c r="M42" i="4"/>
  <c r="L42" i="4"/>
  <c r="O42" i="4" s="1"/>
  <c r="K42" i="4"/>
  <c r="J42" i="4"/>
  <c r="U41" i="4"/>
  <c r="N41" i="4"/>
  <c r="W41" i="4" s="1"/>
  <c r="M41" i="4"/>
  <c r="L41" i="4"/>
  <c r="O41" i="4" s="1"/>
  <c r="K41" i="4"/>
  <c r="J41" i="4"/>
  <c r="U40" i="4"/>
  <c r="N40" i="4"/>
  <c r="W40" i="4" s="1"/>
  <c r="M40" i="4"/>
  <c r="L40" i="4"/>
  <c r="O40" i="4" s="1"/>
  <c r="K40" i="4"/>
  <c r="J40" i="4"/>
  <c r="U39" i="4"/>
  <c r="N39" i="4"/>
  <c r="W39" i="4" s="1"/>
  <c r="M39" i="4"/>
  <c r="L39" i="4"/>
  <c r="O39" i="4" s="1"/>
  <c r="K39" i="4"/>
  <c r="J39" i="4"/>
  <c r="U38" i="4"/>
  <c r="N38" i="4"/>
  <c r="W38" i="4" s="1"/>
  <c r="M38" i="4"/>
  <c r="L38" i="4"/>
  <c r="O38" i="4" s="1"/>
  <c r="K38" i="4"/>
  <c r="J38" i="4"/>
  <c r="U37" i="4"/>
  <c r="N37" i="4"/>
  <c r="W37" i="4" s="1"/>
  <c r="M37" i="4"/>
  <c r="L37" i="4"/>
  <c r="O37" i="4" s="1"/>
  <c r="K37" i="4"/>
  <c r="J37" i="4"/>
  <c r="U36" i="4"/>
  <c r="N36" i="4"/>
  <c r="W36" i="4" s="1"/>
  <c r="M36" i="4"/>
  <c r="L36" i="4"/>
  <c r="O36" i="4" s="1"/>
  <c r="K36" i="4"/>
  <c r="J36" i="4"/>
  <c r="U35" i="4"/>
  <c r="N35" i="4"/>
  <c r="W35" i="4" s="1"/>
  <c r="M35" i="4"/>
  <c r="L35" i="4"/>
  <c r="O35" i="4" s="1"/>
  <c r="K35" i="4"/>
  <c r="J35" i="4"/>
  <c r="U34" i="4"/>
  <c r="N34" i="4"/>
  <c r="W34" i="4" s="1"/>
  <c r="M34" i="4"/>
  <c r="L34" i="4"/>
  <c r="O34" i="4" s="1"/>
  <c r="K34" i="4"/>
  <c r="J34" i="4"/>
  <c r="U33" i="4"/>
  <c r="N33" i="4"/>
  <c r="W33" i="4" s="1"/>
  <c r="M33" i="4"/>
  <c r="L33" i="4"/>
  <c r="O33" i="4" s="1"/>
  <c r="K33" i="4"/>
  <c r="J33" i="4"/>
  <c r="U32" i="4"/>
  <c r="N32" i="4"/>
  <c r="W32" i="4" s="1"/>
  <c r="M32" i="4"/>
  <c r="L32" i="4"/>
  <c r="O32" i="4" s="1"/>
  <c r="K32" i="4"/>
  <c r="J32" i="4"/>
  <c r="U31" i="4"/>
  <c r="N31" i="4"/>
  <c r="W31" i="4" s="1"/>
  <c r="M31" i="4"/>
  <c r="L31" i="4"/>
  <c r="O31" i="4" s="1"/>
  <c r="K31" i="4"/>
  <c r="J31" i="4"/>
  <c r="U30" i="4"/>
  <c r="N30" i="4"/>
  <c r="W30" i="4" s="1"/>
  <c r="M30" i="4"/>
  <c r="L30" i="4"/>
  <c r="O30" i="4" s="1"/>
  <c r="K30" i="4"/>
  <c r="J30" i="4"/>
  <c r="U29" i="4"/>
  <c r="N29" i="4"/>
  <c r="W29" i="4" s="1"/>
  <c r="M29" i="4"/>
  <c r="L29" i="4"/>
  <c r="O29" i="4" s="1"/>
  <c r="K29" i="4"/>
  <c r="J29" i="4"/>
  <c r="U28" i="4"/>
  <c r="N28" i="4"/>
  <c r="W28" i="4" s="1"/>
  <c r="M28" i="4"/>
  <c r="L28" i="4"/>
  <c r="O28" i="4" s="1"/>
  <c r="K28" i="4"/>
  <c r="J28" i="4"/>
  <c r="U27" i="4"/>
  <c r="N27" i="4"/>
  <c r="W27" i="4" s="1"/>
  <c r="M27" i="4"/>
  <c r="L27" i="4"/>
  <c r="O27" i="4" s="1"/>
  <c r="K27" i="4"/>
  <c r="J27" i="4"/>
  <c r="U26" i="4"/>
  <c r="N26" i="4"/>
  <c r="W26" i="4" s="1"/>
  <c r="M26" i="4"/>
  <c r="L26" i="4"/>
  <c r="O26" i="4" s="1"/>
  <c r="K26" i="4"/>
  <c r="J26" i="4"/>
  <c r="U25" i="4"/>
  <c r="N25" i="4"/>
  <c r="W25" i="4" s="1"/>
  <c r="M25" i="4"/>
  <c r="L25" i="4"/>
  <c r="O25" i="4" s="1"/>
  <c r="K25" i="4"/>
  <c r="J25" i="4"/>
  <c r="U24" i="4"/>
  <c r="N24" i="4"/>
  <c r="W24" i="4" s="1"/>
  <c r="M24" i="4"/>
  <c r="L24" i="4"/>
  <c r="O24" i="4" s="1"/>
  <c r="K24" i="4"/>
  <c r="J24" i="4"/>
  <c r="U23" i="4"/>
  <c r="N23" i="4"/>
  <c r="W23" i="4" s="1"/>
  <c r="M23" i="4"/>
  <c r="L23" i="4"/>
  <c r="O23" i="4" s="1"/>
  <c r="K23" i="4"/>
  <c r="J23" i="4"/>
  <c r="U22" i="4"/>
  <c r="N22" i="4"/>
  <c r="W22" i="4" s="1"/>
  <c r="M22" i="4"/>
  <c r="L22" i="4"/>
  <c r="O22" i="4" s="1"/>
  <c r="K22" i="4"/>
  <c r="J22" i="4"/>
  <c r="U21" i="4"/>
  <c r="N21" i="4"/>
  <c r="W21" i="4" s="1"/>
  <c r="M21" i="4"/>
  <c r="L21" i="4"/>
  <c r="O21" i="4" s="1"/>
  <c r="K21" i="4"/>
  <c r="J21" i="4"/>
  <c r="U20" i="4"/>
  <c r="N20" i="4"/>
  <c r="W20" i="4" s="1"/>
  <c r="M20" i="4"/>
  <c r="L20" i="4"/>
  <c r="O20" i="4" s="1"/>
  <c r="K20" i="4"/>
  <c r="J20" i="4"/>
  <c r="U19" i="4"/>
  <c r="N19" i="4"/>
  <c r="W19" i="4" s="1"/>
  <c r="M19" i="4"/>
  <c r="L19" i="4"/>
  <c r="O19" i="4" s="1"/>
  <c r="K19" i="4"/>
  <c r="J19" i="4"/>
  <c r="U18" i="4"/>
  <c r="N18" i="4"/>
  <c r="W18" i="4" s="1"/>
  <c r="M18" i="4"/>
  <c r="L18" i="4"/>
  <c r="O18" i="4" s="1"/>
  <c r="K18" i="4"/>
  <c r="J18" i="4"/>
  <c r="U17" i="4"/>
  <c r="N17" i="4"/>
  <c r="W17" i="4" s="1"/>
  <c r="M17" i="4"/>
  <c r="L17" i="4"/>
  <c r="O17" i="4" s="1"/>
  <c r="K17" i="4"/>
  <c r="J17" i="4"/>
  <c r="U16" i="4"/>
  <c r="N16" i="4"/>
  <c r="W16" i="4" s="1"/>
  <c r="M16" i="4"/>
  <c r="L16" i="4"/>
  <c r="O16" i="4" s="1"/>
  <c r="K16" i="4"/>
  <c r="J16" i="4"/>
  <c r="U15" i="4"/>
  <c r="N15" i="4"/>
  <c r="W15" i="4" s="1"/>
  <c r="M15" i="4"/>
  <c r="L15" i="4"/>
  <c r="O15" i="4" s="1"/>
  <c r="K15" i="4"/>
  <c r="J15" i="4"/>
  <c r="U14" i="4"/>
  <c r="N14" i="4"/>
  <c r="W14" i="4" s="1"/>
  <c r="M14" i="4"/>
  <c r="L14" i="4"/>
  <c r="O14" i="4" s="1"/>
  <c r="K14" i="4"/>
  <c r="J14" i="4"/>
  <c r="U13" i="4"/>
  <c r="N13" i="4"/>
  <c r="W13" i="4" s="1"/>
  <c r="M13" i="4"/>
  <c r="L13" i="4"/>
  <c r="O13" i="4" s="1"/>
  <c r="K13" i="4"/>
  <c r="J13" i="4"/>
  <c r="U12" i="4"/>
  <c r="N12" i="4"/>
  <c r="W12" i="4" s="1"/>
  <c r="M12" i="4"/>
  <c r="L12" i="4"/>
  <c r="O12" i="4" s="1"/>
  <c r="K12" i="4"/>
  <c r="J12" i="4"/>
  <c r="U11" i="4"/>
  <c r="O11" i="4"/>
  <c r="N11" i="4"/>
  <c r="W11" i="4" s="1"/>
  <c r="M11" i="4"/>
  <c r="L11" i="4"/>
  <c r="K11" i="4"/>
  <c r="J11" i="4"/>
  <c r="U10" i="4"/>
  <c r="N10" i="4"/>
  <c r="W10" i="4" s="1"/>
  <c r="M10" i="4"/>
  <c r="L10" i="4"/>
  <c r="O10" i="4" s="1"/>
  <c r="K10" i="4"/>
  <c r="J10" i="4"/>
  <c r="U9" i="4"/>
  <c r="N9" i="4"/>
  <c r="W9" i="4" s="1"/>
  <c r="M9" i="4"/>
  <c r="L9" i="4"/>
  <c r="O9" i="4" s="1"/>
  <c r="K9" i="4"/>
  <c r="J9" i="4"/>
  <c r="U8" i="4"/>
  <c r="N8" i="4"/>
  <c r="W8" i="4" s="1"/>
  <c r="M8" i="4"/>
  <c r="L8" i="4"/>
  <c r="O8" i="4" s="1"/>
  <c r="K8" i="4"/>
  <c r="J8" i="4"/>
  <c r="U7" i="4"/>
  <c r="N7" i="4"/>
  <c r="W7" i="4" s="1"/>
  <c r="M7" i="4"/>
  <c r="L7" i="4"/>
  <c r="O7" i="4" s="1"/>
  <c r="K7" i="4"/>
  <c r="J7" i="4"/>
  <c r="U6" i="4"/>
  <c r="N6" i="4"/>
  <c r="W6" i="4" s="1"/>
  <c r="M6" i="4"/>
  <c r="L6" i="4"/>
  <c r="O6" i="4" s="1"/>
  <c r="K6" i="4"/>
  <c r="J6" i="4"/>
  <c r="U5" i="4"/>
  <c r="N5" i="4"/>
  <c r="W5" i="4" s="1"/>
  <c r="M5" i="4"/>
  <c r="L5" i="4"/>
  <c r="O5" i="4" s="1"/>
  <c r="K5" i="4"/>
  <c r="J5" i="4"/>
  <c r="U4" i="4"/>
  <c r="N4" i="4"/>
  <c r="W4" i="4" s="1"/>
  <c r="M4" i="4"/>
  <c r="L4" i="4"/>
  <c r="O4" i="4" s="1"/>
  <c r="K4" i="4"/>
  <c r="J4" i="4"/>
  <c r="U3" i="4"/>
  <c r="N3" i="4"/>
  <c r="W3" i="4" s="1"/>
  <c r="M3" i="4"/>
  <c r="L3" i="4"/>
  <c r="O3" i="4" s="1"/>
  <c r="K3" i="4"/>
  <c r="J3" i="4"/>
  <c r="U2" i="4"/>
  <c r="N2" i="4"/>
  <c r="W2" i="4" s="1"/>
  <c r="M2" i="4"/>
  <c r="L2" i="4"/>
  <c r="O2" i="4" s="1"/>
  <c r="K2" i="4"/>
  <c r="J2" i="4"/>
  <c r="C63" i="3"/>
  <c r="B63" i="3"/>
  <c r="C62" i="3"/>
  <c r="B62" i="3"/>
  <c r="C61" i="3"/>
  <c r="B61" i="3"/>
  <c r="C60" i="3"/>
  <c r="C64" i="3" s="1"/>
  <c r="B60" i="3"/>
  <c r="B64" i="3" s="1"/>
  <c r="C54" i="3"/>
  <c r="B54" i="3"/>
  <c r="C53" i="3"/>
  <c r="B53" i="3"/>
  <c r="C52" i="3"/>
  <c r="B52" i="3"/>
  <c r="C51" i="3"/>
  <c r="C55" i="3" s="1"/>
  <c r="B51" i="3"/>
  <c r="B55" i="3" s="1"/>
  <c r="C45" i="3"/>
  <c r="B45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C33" i="3" s="1"/>
  <c r="B23" i="3"/>
  <c r="B33" i="3" s="1"/>
  <c r="C17" i="3"/>
  <c r="B17" i="3"/>
  <c r="C16" i="3"/>
  <c r="B16" i="3"/>
  <c r="C15" i="3"/>
  <c r="B15" i="3"/>
  <c r="C14" i="3"/>
  <c r="C18" i="3" s="1"/>
  <c r="B14" i="3"/>
  <c r="B18" i="3" s="1"/>
  <c r="C8" i="3"/>
  <c r="B8" i="3"/>
  <c r="C7" i="3"/>
  <c r="B7" i="3"/>
  <c r="C6" i="3"/>
  <c r="C9" i="3" s="1"/>
  <c r="B6" i="3"/>
  <c r="B9" i="3" s="1"/>
  <c r="C43" i="2"/>
  <c r="C38" i="2"/>
  <c r="C37" i="2"/>
  <c r="C36" i="2"/>
  <c r="C35" i="2"/>
  <c r="B20" i="2"/>
  <c r="B19" i="2"/>
  <c r="B11" i="2"/>
  <c r="B10" i="2"/>
  <c r="B9" i="2"/>
  <c r="B8" i="2"/>
  <c r="B6" i="2"/>
  <c r="B7" i="2" s="1"/>
  <c r="P118" i="4" l="1"/>
  <c r="Q118" i="4" s="1"/>
  <c r="R118" i="4"/>
  <c r="P117" i="4"/>
  <c r="Q117" i="4"/>
  <c r="R117" i="4"/>
  <c r="P116" i="4"/>
  <c r="Q116" i="4"/>
  <c r="R116" i="4"/>
  <c r="P115" i="4"/>
  <c r="Q115" i="4"/>
  <c r="B24" i="11" s="1"/>
  <c r="R115" i="4"/>
  <c r="P114" i="4"/>
  <c r="Q114" i="4"/>
  <c r="R114" i="4"/>
  <c r="P113" i="4"/>
  <c r="Q113" i="4"/>
  <c r="R113" i="4"/>
  <c r="P112" i="4"/>
  <c r="Q112" i="4"/>
  <c r="R112" i="4"/>
  <c r="P111" i="4"/>
  <c r="Q111" i="4"/>
  <c r="R111" i="4"/>
  <c r="P110" i="4"/>
  <c r="Q110" i="4"/>
  <c r="R110" i="4"/>
  <c r="P109" i="4"/>
  <c r="Q109" i="4"/>
  <c r="R109" i="4"/>
  <c r="P108" i="4"/>
  <c r="Q108" i="4"/>
  <c r="R108" i="4"/>
  <c r="P107" i="4"/>
  <c r="Q107" i="4"/>
  <c r="R107" i="4"/>
  <c r="P106" i="4"/>
  <c r="Q106" i="4"/>
  <c r="R106" i="4"/>
  <c r="P105" i="4"/>
  <c r="Q105" i="4"/>
  <c r="R105" i="4"/>
  <c r="P104" i="4"/>
  <c r="Q104" i="4"/>
  <c r="R104" i="4"/>
  <c r="P103" i="4"/>
  <c r="Q103" i="4"/>
  <c r="R103" i="4"/>
  <c r="P102" i="4"/>
  <c r="Q102" i="4"/>
  <c r="R102" i="4"/>
  <c r="P101" i="4"/>
  <c r="Q101" i="4"/>
  <c r="B37" i="11" s="1"/>
  <c r="R101" i="4"/>
  <c r="R100" i="4"/>
  <c r="P100" i="4"/>
  <c r="Q100" i="4"/>
  <c r="P99" i="4"/>
  <c r="Q99" i="4" s="1"/>
  <c r="R99" i="4"/>
  <c r="P98" i="4"/>
  <c r="Q98" i="4"/>
  <c r="R98" i="4"/>
  <c r="P97" i="4"/>
  <c r="Q97" i="4"/>
  <c r="B29" i="11" s="1"/>
  <c r="R97" i="4"/>
  <c r="P96" i="4"/>
  <c r="Q96" i="4"/>
  <c r="R96" i="4"/>
  <c r="P95" i="4"/>
  <c r="Q95" i="4"/>
  <c r="R95" i="4"/>
  <c r="P94" i="4"/>
  <c r="Q94" i="4"/>
  <c r="R94" i="4"/>
  <c r="P93" i="4"/>
  <c r="Q93" i="4"/>
  <c r="R93" i="4"/>
  <c r="P92" i="4"/>
  <c r="Q92" i="4"/>
  <c r="R92" i="4"/>
  <c r="R91" i="4"/>
  <c r="P91" i="4"/>
  <c r="Q91" i="4"/>
  <c r="P90" i="4"/>
  <c r="Q90" i="4"/>
  <c r="R90" i="4"/>
  <c r="P89" i="4"/>
  <c r="Q89" i="4"/>
  <c r="R89" i="4"/>
  <c r="P88" i="4"/>
  <c r="Q88" i="4"/>
  <c r="R88" i="4"/>
  <c r="P87" i="4"/>
  <c r="Q87" i="4"/>
  <c r="R87" i="4"/>
  <c r="P86" i="4"/>
  <c r="Q86" i="4"/>
  <c r="R86" i="4"/>
  <c r="R85" i="4"/>
  <c r="P85" i="4"/>
  <c r="Q85" i="4" s="1"/>
  <c r="P84" i="4"/>
  <c r="Q84" i="4"/>
  <c r="R84" i="4"/>
  <c r="P83" i="4"/>
  <c r="Q83" i="4"/>
  <c r="R83" i="4"/>
  <c r="P82" i="4"/>
  <c r="Q82" i="4"/>
  <c r="R82" i="4"/>
  <c r="P81" i="4"/>
  <c r="Q81" i="4"/>
  <c r="R81" i="4"/>
  <c r="P80" i="4"/>
  <c r="Q80" i="4"/>
  <c r="R80" i="4"/>
  <c r="P79" i="4"/>
  <c r="Q79" i="4"/>
  <c r="R79" i="4"/>
  <c r="P78" i="4"/>
  <c r="Q78" i="4"/>
  <c r="R78" i="4"/>
  <c r="P77" i="4"/>
  <c r="Q77" i="4"/>
  <c r="R77" i="4"/>
  <c r="P76" i="4"/>
  <c r="Q76" i="4"/>
  <c r="R76" i="4"/>
  <c r="P75" i="4"/>
  <c r="Q75" i="4"/>
  <c r="R75" i="4"/>
  <c r="P74" i="4"/>
  <c r="Q74" i="4"/>
  <c r="R74" i="4"/>
  <c r="P73" i="4"/>
  <c r="Q73" i="4"/>
  <c r="R73" i="4"/>
  <c r="P72" i="4"/>
  <c r="Q72" i="4"/>
  <c r="R72" i="4"/>
  <c r="P71" i="4"/>
  <c r="Q71" i="4"/>
  <c r="R71" i="4"/>
  <c r="P70" i="4"/>
  <c r="Q70" i="4"/>
  <c r="R70" i="4"/>
  <c r="P69" i="4"/>
  <c r="Q69" i="4"/>
  <c r="R69" i="4"/>
  <c r="P68" i="4"/>
  <c r="Q68" i="4"/>
  <c r="R68" i="4"/>
  <c r="P67" i="4"/>
  <c r="Q67" i="4"/>
  <c r="R67" i="4"/>
  <c r="P66" i="4"/>
  <c r="Q66" i="4"/>
  <c r="R66" i="4"/>
  <c r="P65" i="4"/>
  <c r="Q65" i="4"/>
  <c r="R65" i="4"/>
  <c r="P64" i="4"/>
  <c r="Q64" i="4"/>
  <c r="R64" i="4"/>
  <c r="P63" i="4"/>
  <c r="Q63" i="4"/>
  <c r="R63" i="4"/>
  <c r="P62" i="4"/>
  <c r="Q62" i="4"/>
  <c r="R62" i="4"/>
  <c r="P61" i="4"/>
  <c r="Q61" i="4"/>
  <c r="R61" i="4"/>
  <c r="P60" i="4"/>
  <c r="Q60" i="4"/>
  <c r="R60" i="4"/>
  <c r="P59" i="4"/>
  <c r="Q59" i="4"/>
  <c r="R59" i="4"/>
  <c r="P58" i="4"/>
  <c r="Q58" i="4"/>
  <c r="R58" i="4"/>
  <c r="P57" i="4"/>
  <c r="Q57" i="4"/>
  <c r="R57" i="4"/>
  <c r="P56" i="4"/>
  <c r="Q56" i="4"/>
  <c r="R56" i="4"/>
  <c r="P55" i="4"/>
  <c r="Q55" i="4" s="1"/>
  <c r="R55" i="4"/>
  <c r="P54" i="4"/>
  <c r="Q54" i="4"/>
  <c r="R54" i="4"/>
  <c r="P53" i="4"/>
  <c r="Q53" i="4"/>
  <c r="R53" i="4"/>
  <c r="P52" i="4"/>
  <c r="Q52" i="4"/>
  <c r="R52" i="4"/>
  <c r="P51" i="4"/>
  <c r="Q51" i="4"/>
  <c r="R51" i="4"/>
  <c r="P50" i="4"/>
  <c r="Q50" i="4"/>
  <c r="R50" i="4"/>
  <c r="P49" i="4"/>
  <c r="Q49" i="4"/>
  <c r="R49" i="4"/>
  <c r="P48" i="4"/>
  <c r="Q48" i="4"/>
  <c r="R48" i="4"/>
  <c r="P47" i="4"/>
  <c r="Q47" i="4"/>
  <c r="R47" i="4"/>
  <c r="P46" i="4"/>
  <c r="Q46" i="4"/>
  <c r="R46" i="4"/>
  <c r="P45" i="4"/>
  <c r="Q45" i="4"/>
  <c r="R45" i="4"/>
  <c r="P44" i="4"/>
  <c r="Q44" i="4"/>
  <c r="R44" i="4"/>
  <c r="P43" i="4"/>
  <c r="Q43" i="4"/>
  <c r="R43" i="4"/>
  <c r="P42" i="4"/>
  <c r="Q42" i="4"/>
  <c r="R42" i="4"/>
  <c r="P41" i="4"/>
  <c r="Q41" i="4"/>
  <c r="R41" i="4"/>
  <c r="P40" i="4"/>
  <c r="Q40" i="4"/>
  <c r="R40" i="4"/>
  <c r="P39" i="4"/>
  <c r="Q39" i="4"/>
  <c r="R39" i="4"/>
  <c r="P38" i="4"/>
  <c r="Q38" i="4"/>
  <c r="R38" i="4"/>
  <c r="P37" i="4"/>
  <c r="Q37" i="4"/>
  <c r="R37" i="4"/>
  <c r="P36" i="4"/>
  <c r="Q36" i="4"/>
  <c r="R36" i="4"/>
  <c r="P35" i="4"/>
  <c r="Q35" i="4"/>
  <c r="R35" i="4"/>
  <c r="P34" i="4"/>
  <c r="Q34" i="4"/>
  <c r="R34" i="4"/>
  <c r="P33" i="4"/>
  <c r="Q33" i="4"/>
  <c r="R33" i="4"/>
  <c r="P32" i="4"/>
  <c r="Q32" i="4"/>
  <c r="R32" i="4"/>
  <c r="P31" i="4"/>
  <c r="Q31" i="4"/>
  <c r="R31" i="4"/>
  <c r="D29" i="3"/>
  <c r="R30" i="4"/>
  <c r="P30" i="4"/>
  <c r="Q30" i="4"/>
  <c r="P29" i="4"/>
  <c r="Q29" i="4"/>
  <c r="R29" i="4"/>
  <c r="P28" i="4"/>
  <c r="Q28" i="4"/>
  <c r="R28" i="4"/>
  <c r="P27" i="4"/>
  <c r="Q27" i="4"/>
  <c r="R27" i="4"/>
  <c r="R26" i="4"/>
  <c r="P26" i="4"/>
  <c r="Q26" i="4"/>
  <c r="P25" i="4"/>
  <c r="Q25" i="4" s="1"/>
  <c r="B26" i="11" s="1"/>
  <c r="R25" i="4"/>
  <c r="P24" i="4"/>
  <c r="Q24" i="4" s="1"/>
  <c r="R24" i="4"/>
  <c r="P23" i="4"/>
  <c r="Q23" i="4" s="1"/>
  <c r="R23" i="4"/>
  <c r="R22" i="4"/>
  <c r="P22" i="4"/>
  <c r="Q22" i="4"/>
  <c r="R21" i="4"/>
  <c r="P21" i="4"/>
  <c r="Q21" i="4" s="1"/>
  <c r="R20" i="4"/>
  <c r="P20" i="4"/>
  <c r="Q20" i="4"/>
  <c r="R19" i="4"/>
  <c r="P19" i="4"/>
  <c r="Q19" i="4" s="1"/>
  <c r="P18" i="4"/>
  <c r="Q18" i="4" s="1"/>
  <c r="R18" i="4"/>
  <c r="R17" i="4"/>
  <c r="D31" i="3"/>
  <c r="P17" i="4"/>
  <c r="Q17" i="4"/>
  <c r="R16" i="4"/>
  <c r="D23" i="3"/>
  <c r="P16" i="4"/>
  <c r="Q16" i="4"/>
  <c r="R15" i="4"/>
  <c r="P15" i="4"/>
  <c r="Q15" i="4" s="1"/>
  <c r="D27" i="3"/>
  <c r="D30" i="3"/>
  <c r="P14" i="4"/>
  <c r="Q14" i="4" s="1"/>
  <c r="R14" i="4"/>
  <c r="D14" i="3"/>
  <c r="R13" i="4"/>
  <c r="P13" i="4"/>
  <c r="Q13" i="4"/>
  <c r="P12" i="4"/>
  <c r="Q12" i="4" s="1"/>
  <c r="R12" i="4"/>
  <c r="R11" i="4"/>
  <c r="P11" i="4"/>
  <c r="Q11" i="4" s="1"/>
  <c r="D43" i="3"/>
  <c r="C43" i="3"/>
  <c r="B43" i="3"/>
  <c r="B42" i="3"/>
  <c r="C41" i="3"/>
  <c r="B41" i="3"/>
  <c r="D40" i="3"/>
  <c r="C40" i="3"/>
  <c r="B40" i="3"/>
  <c r="C39" i="3"/>
  <c r="B39" i="3"/>
  <c r="B38" i="3"/>
  <c r="B46" i="3" s="1"/>
  <c r="C38" i="3"/>
  <c r="C42" i="3"/>
  <c r="D44" i="3"/>
  <c r="C44" i="3"/>
  <c r="B44" i="3"/>
  <c r="P10" i="4"/>
  <c r="Q10" i="4"/>
  <c r="R10" i="4"/>
  <c r="D41" i="3"/>
  <c r="P9" i="4"/>
  <c r="Q9" i="4"/>
  <c r="R9" i="4"/>
  <c r="D52" i="3"/>
  <c r="P8" i="4"/>
  <c r="Q8" i="4"/>
  <c r="R8" i="4"/>
  <c r="D61" i="3"/>
  <c r="P7" i="4"/>
  <c r="Q7" i="4"/>
  <c r="R7" i="4"/>
  <c r="D32" i="3"/>
  <c r="D15" i="3"/>
  <c r="D39" i="3"/>
  <c r="P6" i="4"/>
  <c r="Q6" i="4"/>
  <c r="R6" i="4"/>
  <c r="D54" i="3"/>
  <c r="D8" i="3"/>
  <c r="D45" i="3"/>
  <c r="P5" i="4"/>
  <c r="Q5" i="4"/>
  <c r="R5" i="4"/>
  <c r="D26" i="3"/>
  <c r="P4" i="4"/>
  <c r="Q4" i="4"/>
  <c r="R4" i="4"/>
  <c r="D17" i="3"/>
  <c r="D62" i="3"/>
  <c r="D25" i="3"/>
  <c r="P3" i="4"/>
  <c r="Q3" i="4"/>
  <c r="R3" i="4"/>
  <c r="D28" i="3"/>
  <c r="D6" i="3"/>
  <c r="D51" i="3"/>
  <c r="D63" i="3"/>
  <c r="D38" i="3"/>
  <c r="P2" i="4"/>
  <c r="Q2" i="4"/>
  <c r="R2" i="4"/>
  <c r="B12" i="2"/>
  <c r="D53" i="3"/>
  <c r="D16" i="3"/>
  <c r="D24" i="3"/>
  <c r="D60" i="3"/>
  <c r="D64" i="3" s="1"/>
  <c r="D7" i="3"/>
  <c r="D42" i="3"/>
  <c r="C39" i="2"/>
  <c r="S118" i="4" l="1"/>
  <c r="T118" i="4"/>
  <c r="V118" i="4"/>
  <c r="S117" i="4"/>
  <c r="T117" i="4"/>
  <c r="V117" i="4"/>
  <c r="S116" i="4"/>
  <c r="T116" i="4"/>
  <c r="V116" i="4"/>
  <c r="S115" i="4"/>
  <c r="T115" i="4"/>
  <c r="V115" i="4"/>
  <c r="S114" i="4"/>
  <c r="T114" i="4"/>
  <c r="V114" i="4"/>
  <c r="S113" i="4"/>
  <c r="T113" i="4"/>
  <c r="V113" i="4"/>
  <c r="S112" i="4"/>
  <c r="T112" i="4"/>
  <c r="V112" i="4"/>
  <c r="S111" i="4"/>
  <c r="T111" i="4" s="1"/>
  <c r="V111" i="4"/>
  <c r="S110" i="4"/>
  <c r="T110" i="4"/>
  <c r="V110" i="4"/>
  <c r="S109" i="4"/>
  <c r="T109" i="4"/>
  <c r="V109" i="4"/>
  <c r="S108" i="4"/>
  <c r="T108" i="4"/>
  <c r="V108" i="4"/>
  <c r="S107" i="4"/>
  <c r="T107" i="4"/>
  <c r="V107" i="4"/>
  <c r="S106" i="4"/>
  <c r="T106" i="4"/>
  <c r="V106" i="4"/>
  <c r="S105" i="4"/>
  <c r="T105" i="4"/>
  <c r="V105" i="4"/>
  <c r="S104" i="4"/>
  <c r="T104" i="4"/>
  <c r="V104" i="4"/>
  <c r="S103" i="4"/>
  <c r="T103" i="4"/>
  <c r="V103" i="4"/>
  <c r="S102" i="4"/>
  <c r="T102" i="4"/>
  <c r="V102" i="4"/>
  <c r="S101" i="4"/>
  <c r="T101" i="4"/>
  <c r="V101" i="4"/>
  <c r="T100" i="4"/>
  <c r="S100" i="4"/>
  <c r="V100" i="4"/>
  <c r="S99" i="4"/>
  <c r="T99" i="4"/>
  <c r="V99" i="4"/>
  <c r="S98" i="4"/>
  <c r="T98" i="4"/>
  <c r="V98" i="4"/>
  <c r="S97" i="4"/>
  <c r="T97" i="4"/>
  <c r="V97" i="4"/>
  <c r="S96" i="4"/>
  <c r="T96" i="4"/>
  <c r="V96" i="4"/>
  <c r="S95" i="4"/>
  <c r="T95" i="4"/>
  <c r="V95" i="4"/>
  <c r="S94" i="4"/>
  <c r="T94" i="4"/>
  <c r="V94" i="4"/>
  <c r="S93" i="4"/>
  <c r="T93" i="4"/>
  <c r="V93" i="4"/>
  <c r="S92" i="4"/>
  <c r="T92" i="4"/>
  <c r="V92" i="4"/>
  <c r="S91" i="4"/>
  <c r="V91" i="4"/>
  <c r="T91" i="4"/>
  <c r="S90" i="4"/>
  <c r="T90" i="4"/>
  <c r="V90" i="4"/>
  <c r="S89" i="4"/>
  <c r="T89" i="4"/>
  <c r="V89" i="4"/>
  <c r="S88" i="4"/>
  <c r="T88" i="4"/>
  <c r="V88" i="4"/>
  <c r="S87" i="4"/>
  <c r="T87" i="4"/>
  <c r="V87" i="4"/>
  <c r="S86" i="4"/>
  <c r="T86" i="4"/>
  <c r="V86" i="4"/>
  <c r="S85" i="4"/>
  <c r="T85" i="4"/>
  <c r="V85" i="4"/>
  <c r="S84" i="4"/>
  <c r="T84" i="4"/>
  <c r="V84" i="4"/>
  <c r="S83" i="4"/>
  <c r="T83" i="4"/>
  <c r="V83" i="4"/>
  <c r="S82" i="4"/>
  <c r="T82" i="4"/>
  <c r="V82" i="4"/>
  <c r="S81" i="4"/>
  <c r="T81" i="4"/>
  <c r="V81" i="4"/>
  <c r="S80" i="4"/>
  <c r="T80" i="4"/>
  <c r="V80" i="4"/>
  <c r="S79" i="4"/>
  <c r="T79" i="4"/>
  <c r="V79" i="4"/>
  <c r="S78" i="4"/>
  <c r="T78" i="4"/>
  <c r="V78" i="4"/>
  <c r="S77" i="4"/>
  <c r="T77" i="4"/>
  <c r="V77" i="4"/>
  <c r="S76" i="4"/>
  <c r="T76" i="4" s="1"/>
  <c r="V76" i="4"/>
  <c r="S75" i="4"/>
  <c r="T75" i="4"/>
  <c r="V75" i="4"/>
  <c r="S74" i="4"/>
  <c r="T74" i="4"/>
  <c r="V74" i="4"/>
  <c r="S73" i="4"/>
  <c r="T73" i="4"/>
  <c r="V73" i="4"/>
  <c r="S72" i="4"/>
  <c r="T72" i="4"/>
  <c r="V72" i="4"/>
  <c r="S71" i="4"/>
  <c r="T71" i="4"/>
  <c r="V71" i="4"/>
  <c r="S70" i="4"/>
  <c r="T70" i="4"/>
  <c r="V70" i="4"/>
  <c r="S69" i="4"/>
  <c r="T69" i="4"/>
  <c r="V69" i="4"/>
  <c r="S68" i="4"/>
  <c r="T68" i="4"/>
  <c r="V68" i="4"/>
  <c r="S67" i="4"/>
  <c r="T67" i="4"/>
  <c r="V67" i="4"/>
  <c r="S66" i="4"/>
  <c r="T66" i="4"/>
  <c r="V66" i="4"/>
  <c r="S65" i="4"/>
  <c r="T65" i="4"/>
  <c r="V65" i="4"/>
  <c r="S64" i="4"/>
  <c r="T64" i="4"/>
  <c r="V64" i="4"/>
  <c r="S63" i="4"/>
  <c r="T63" i="4"/>
  <c r="V63" i="4"/>
  <c r="S62" i="4"/>
  <c r="T62" i="4"/>
  <c r="V62" i="4"/>
  <c r="S61" i="4"/>
  <c r="T61" i="4"/>
  <c r="V61" i="4"/>
  <c r="S60" i="4"/>
  <c r="T60" i="4"/>
  <c r="V60" i="4"/>
  <c r="S59" i="4"/>
  <c r="T59" i="4"/>
  <c r="V59" i="4"/>
  <c r="S58" i="4"/>
  <c r="T58" i="4" s="1"/>
  <c r="V58" i="4"/>
  <c r="S57" i="4"/>
  <c r="T57" i="4"/>
  <c r="V57" i="4"/>
  <c r="S56" i="4"/>
  <c r="T56" i="4"/>
  <c r="V56" i="4"/>
  <c r="S55" i="4"/>
  <c r="T55" i="4" s="1"/>
  <c r="V55" i="4"/>
  <c r="S54" i="4"/>
  <c r="T54" i="4"/>
  <c r="V54" i="4"/>
  <c r="S53" i="4"/>
  <c r="T53" i="4"/>
  <c r="V53" i="4"/>
  <c r="S52" i="4"/>
  <c r="T52" i="4"/>
  <c r="V52" i="4"/>
  <c r="S51" i="4"/>
  <c r="T51" i="4"/>
  <c r="V51" i="4"/>
  <c r="S50" i="4"/>
  <c r="T50" i="4"/>
  <c r="V50" i="4"/>
  <c r="S49" i="4"/>
  <c r="T49" i="4"/>
  <c r="V49" i="4"/>
  <c r="S48" i="4"/>
  <c r="T48" i="4"/>
  <c r="V48" i="4"/>
  <c r="S47" i="4"/>
  <c r="T47" i="4"/>
  <c r="V47" i="4"/>
  <c r="S46" i="4"/>
  <c r="T46" i="4"/>
  <c r="V46" i="4"/>
  <c r="S45" i="4"/>
  <c r="T45" i="4"/>
  <c r="V45" i="4"/>
  <c r="S44" i="4"/>
  <c r="T44" i="4"/>
  <c r="V44" i="4"/>
  <c r="S43" i="4"/>
  <c r="T43" i="4"/>
  <c r="V43" i="4"/>
  <c r="S42" i="4"/>
  <c r="T42" i="4"/>
  <c r="V42" i="4"/>
  <c r="S41" i="4"/>
  <c r="T41" i="4"/>
  <c r="V41" i="4"/>
  <c r="S40" i="4"/>
  <c r="T40" i="4"/>
  <c r="V40" i="4"/>
  <c r="S39" i="4"/>
  <c r="T39" i="4"/>
  <c r="V39" i="4"/>
  <c r="S38" i="4"/>
  <c r="T38" i="4"/>
  <c r="V38" i="4"/>
  <c r="S37" i="4"/>
  <c r="T37" i="4"/>
  <c r="V37" i="4"/>
  <c r="S36" i="4"/>
  <c r="T36" i="4"/>
  <c r="V36" i="4"/>
  <c r="S35" i="4"/>
  <c r="T35" i="4"/>
  <c r="V35" i="4"/>
  <c r="S34" i="4"/>
  <c r="T34" i="4"/>
  <c r="V34" i="4"/>
  <c r="B69" i="3"/>
  <c r="S33" i="4"/>
  <c r="T33" i="4"/>
  <c r="V33" i="4"/>
  <c r="S32" i="4"/>
  <c r="T32" i="4"/>
  <c r="V32" i="4"/>
  <c r="S31" i="4"/>
  <c r="T31" i="4"/>
  <c r="V31" i="4"/>
  <c r="S30" i="4"/>
  <c r="T30" i="4"/>
  <c r="V30" i="4"/>
  <c r="S29" i="4"/>
  <c r="V29" i="4"/>
  <c r="T29" i="4"/>
  <c r="S28" i="4"/>
  <c r="B78" i="3" s="1"/>
  <c r="T28" i="4"/>
  <c r="V28" i="4"/>
  <c r="B70" i="3"/>
  <c r="S27" i="4"/>
  <c r="T27" i="4" s="1"/>
  <c r="V27" i="4"/>
  <c r="S26" i="4"/>
  <c r="T26" i="4"/>
  <c r="V26" i="4"/>
  <c r="S25" i="4"/>
  <c r="V25" i="4"/>
  <c r="T25" i="4"/>
  <c r="S24" i="4"/>
  <c r="T24" i="4" s="1"/>
  <c r="V24" i="4"/>
  <c r="S23" i="4"/>
  <c r="T23" i="4"/>
  <c r="V23" i="4"/>
  <c r="S22" i="4"/>
  <c r="T22" i="4"/>
  <c r="V22" i="4"/>
  <c r="E69" i="3"/>
  <c r="V21" i="4"/>
  <c r="S21" i="4"/>
  <c r="T21" i="4"/>
  <c r="S20" i="4"/>
  <c r="T20" i="4" s="1"/>
  <c r="V20" i="4"/>
  <c r="S19" i="4"/>
  <c r="T19" i="4"/>
  <c r="V19" i="4"/>
  <c r="S18" i="4"/>
  <c r="V18" i="4"/>
  <c r="T18" i="4"/>
  <c r="S17" i="4"/>
  <c r="T17" i="4" s="1"/>
  <c r="C69" i="3"/>
  <c r="E31" i="3"/>
  <c r="G31" i="3"/>
  <c r="V17" i="4"/>
  <c r="E23" i="3"/>
  <c r="S16" i="4"/>
  <c r="T16" i="4" s="1"/>
  <c r="V16" i="4"/>
  <c r="G23" i="3"/>
  <c r="G44" i="3"/>
  <c r="V15" i="4"/>
  <c r="E27" i="3"/>
  <c r="G27" i="3"/>
  <c r="S15" i="4"/>
  <c r="T15" i="4" s="1"/>
  <c r="E14" i="3"/>
  <c r="G14" i="3"/>
  <c r="S14" i="4"/>
  <c r="T14" i="4"/>
  <c r="V14" i="4"/>
  <c r="E30" i="3"/>
  <c r="G30" i="3"/>
  <c r="B71" i="3"/>
  <c r="S13" i="4"/>
  <c r="T13" i="4"/>
  <c r="V13" i="4"/>
  <c r="S12" i="4"/>
  <c r="C70" i="3"/>
  <c r="T12" i="4"/>
  <c r="V12" i="4"/>
  <c r="V11" i="4"/>
  <c r="G29" i="3"/>
  <c r="S11" i="4"/>
  <c r="T11" i="4"/>
  <c r="E29" i="3"/>
  <c r="S10" i="4"/>
  <c r="T10" i="4"/>
  <c r="V10" i="4"/>
  <c r="E41" i="3"/>
  <c r="G41" i="3"/>
  <c r="S9" i="4"/>
  <c r="T9" i="4"/>
  <c r="V9" i="4"/>
  <c r="E52" i="3"/>
  <c r="G52" i="3"/>
  <c r="S8" i="4"/>
  <c r="T8" i="4"/>
  <c r="V8" i="4"/>
  <c r="E61" i="3"/>
  <c r="G61" i="3"/>
  <c r="D71" i="3"/>
  <c r="S7" i="4"/>
  <c r="T7" i="4"/>
  <c r="V7" i="4"/>
  <c r="E15" i="3"/>
  <c r="G15" i="3"/>
  <c r="E32" i="3"/>
  <c r="G32" i="3"/>
  <c r="C71" i="3"/>
  <c r="E39" i="3"/>
  <c r="G39" i="3"/>
  <c r="S6" i="4"/>
  <c r="T6" i="4"/>
  <c r="V6" i="4"/>
  <c r="E45" i="3"/>
  <c r="E54" i="3"/>
  <c r="G54" i="3"/>
  <c r="E8" i="3"/>
  <c r="G8" i="3"/>
  <c r="G45" i="3"/>
  <c r="E71" i="3"/>
  <c r="S5" i="4"/>
  <c r="T5" i="4"/>
  <c r="V5" i="4"/>
  <c r="G26" i="3"/>
  <c r="E26" i="3"/>
  <c r="S4" i="4"/>
  <c r="T4" i="4"/>
  <c r="V4" i="4"/>
  <c r="E25" i="3"/>
  <c r="G25" i="3"/>
  <c r="C41" i="2"/>
  <c r="E17" i="3"/>
  <c r="G17" i="3"/>
  <c r="E62" i="3"/>
  <c r="G62" i="3"/>
  <c r="E70" i="3"/>
  <c r="S3" i="4"/>
  <c r="T3" i="4"/>
  <c r="V3" i="4"/>
  <c r="E51" i="3"/>
  <c r="G51" i="3"/>
  <c r="E63" i="3"/>
  <c r="G28" i="3"/>
  <c r="E6" i="3"/>
  <c r="G6" i="3"/>
  <c r="E28" i="3"/>
  <c r="G63" i="3"/>
  <c r="D69" i="3"/>
  <c r="D72" i="3" s="1"/>
  <c r="E38" i="3"/>
  <c r="G38" i="3"/>
  <c r="B13" i="2"/>
  <c r="B21" i="2" s="1"/>
  <c r="S2" i="4"/>
  <c r="T2" i="4"/>
  <c r="V2" i="4"/>
  <c r="B14" i="2"/>
  <c r="G46" i="3"/>
  <c r="G9" i="3"/>
  <c r="E53" i="3"/>
  <c r="I54" i="3" s="1"/>
  <c r="G53" i="3"/>
  <c r="G18" i="3"/>
  <c r="G24" i="3"/>
  <c r="B18" i="2"/>
  <c r="C40" i="2"/>
  <c r="C42" i="2"/>
  <c r="E7" i="3"/>
  <c r="G7" i="3"/>
  <c r="E16" i="3"/>
  <c r="G16" i="3"/>
  <c r="E24" i="3"/>
  <c r="G60" i="3"/>
  <c r="G64" i="3"/>
  <c r="G33" i="3"/>
  <c r="E42" i="3"/>
  <c r="G42" i="3"/>
  <c r="G55" i="3"/>
  <c r="E60" i="3"/>
  <c r="D70" i="3"/>
  <c r="D18" i="3"/>
  <c r="D46" i="3"/>
  <c r="C46" i="3"/>
  <c r="B15" i="2"/>
  <c r="D55" i="3"/>
  <c r="D33" i="3"/>
  <c r="D9" i="3"/>
  <c r="E43" i="3"/>
  <c r="B41" i="11"/>
  <c r="B32" i="11"/>
  <c r="G43" i="3"/>
  <c r="B43" i="11"/>
  <c r="B25" i="11"/>
  <c r="C7" i="11"/>
  <c r="B27" i="11"/>
  <c r="B19" i="11"/>
  <c r="B36" i="11"/>
  <c r="B28" i="11"/>
  <c r="B16" i="11"/>
  <c r="E44" i="3"/>
  <c r="B42" i="11"/>
  <c r="B31" i="11"/>
  <c r="B13" i="11"/>
  <c r="B21" i="11"/>
  <c r="B39" i="11"/>
  <c r="C10" i="11"/>
  <c r="B14" i="11"/>
  <c r="B33" i="11"/>
  <c r="C8" i="11"/>
  <c r="B40" i="11"/>
  <c r="B38" i="11"/>
  <c r="C9" i="11"/>
  <c r="B30" i="11"/>
  <c r="B20" i="11"/>
  <c r="B15" i="11"/>
  <c r="E40" i="3"/>
  <c r="G40" i="3"/>
  <c r="F69" i="3" l="1"/>
  <c r="B72" i="3"/>
  <c r="C34" i="2"/>
  <c r="B34" i="2"/>
  <c r="F43" i="3"/>
  <c r="C77" i="3"/>
  <c r="F31" i="3"/>
  <c r="E33" i="3"/>
  <c r="B27" i="2"/>
  <c r="B26" i="2"/>
  <c r="C26" i="2"/>
  <c r="C27" i="2"/>
  <c r="F44" i="3"/>
  <c r="F27" i="3"/>
  <c r="E18" i="3"/>
  <c r="C30" i="2"/>
  <c r="B30" i="2"/>
  <c r="C13" i="11"/>
  <c r="F14" i="3"/>
  <c r="F30" i="3"/>
  <c r="B79" i="3"/>
  <c r="F40" i="3"/>
  <c r="F29" i="3"/>
  <c r="D8" i="11"/>
  <c r="F52" i="3"/>
  <c r="F61" i="3"/>
  <c r="D79" i="3"/>
  <c r="C14" i="11"/>
  <c r="F15" i="3"/>
  <c r="F32" i="3"/>
  <c r="C79" i="3"/>
  <c r="F39" i="3"/>
  <c r="D10" i="11"/>
  <c r="F45" i="3"/>
  <c r="F8" i="3"/>
  <c r="F54" i="3"/>
  <c r="E79" i="3"/>
  <c r="C16" i="11"/>
  <c r="F17" i="3"/>
  <c r="F25" i="3"/>
  <c r="E78" i="3"/>
  <c r="F62" i="3"/>
  <c r="D7" i="11"/>
  <c r="F28" i="3"/>
  <c r="F6" i="3"/>
  <c r="F9" i="3" s="1"/>
  <c r="F51" i="3"/>
  <c r="F63" i="3"/>
  <c r="F38" i="3"/>
  <c r="D77" i="3"/>
  <c r="C32" i="2"/>
  <c r="B33" i="2"/>
  <c r="C33" i="2"/>
  <c r="I52" i="3"/>
  <c r="B32" i="2"/>
  <c r="E55" i="3"/>
  <c r="E9" i="3"/>
  <c r="B29" i="2"/>
  <c r="C29" i="2"/>
  <c r="B28" i="2"/>
  <c r="E46" i="3"/>
  <c r="C28" i="2"/>
  <c r="D9" i="11"/>
  <c r="C15" i="11"/>
  <c r="F53" i="3"/>
  <c r="F16" i="3"/>
  <c r="F60" i="3"/>
  <c r="F24" i="3"/>
  <c r="F7" i="3"/>
  <c r="F42" i="3"/>
  <c r="B16" i="2"/>
  <c r="D78" i="3"/>
  <c r="B17" i="2"/>
  <c r="E72" i="3"/>
  <c r="F23" i="3"/>
  <c r="F71" i="3"/>
  <c r="F41" i="3"/>
  <c r="I53" i="3"/>
  <c r="E77" i="3"/>
  <c r="B77" i="3"/>
  <c r="F70" i="3"/>
  <c r="C72" i="3"/>
  <c r="C78" i="3"/>
  <c r="F26" i="3"/>
  <c r="E64" i="3"/>
  <c r="H25" i="3" l="1"/>
  <c r="H27" i="3"/>
  <c r="H31" i="3"/>
  <c r="H23" i="3"/>
  <c r="H24" i="3"/>
  <c r="H26" i="3"/>
  <c r="H28" i="3"/>
  <c r="H29" i="3"/>
  <c r="H30" i="3"/>
  <c r="H32" i="3"/>
  <c r="H14" i="3"/>
  <c r="H18" i="3" s="1"/>
  <c r="H15" i="3"/>
  <c r="H16" i="3"/>
  <c r="H17" i="3"/>
  <c r="F18" i="3"/>
  <c r="B31" i="2"/>
  <c r="C31" i="2"/>
  <c r="H51" i="3"/>
  <c r="H55" i="3" s="1"/>
  <c r="H52" i="3"/>
  <c r="H54" i="3"/>
  <c r="H53" i="3"/>
  <c r="H6" i="3"/>
  <c r="H7" i="3"/>
  <c r="H8" i="3"/>
  <c r="H44" i="3"/>
  <c r="H38" i="3"/>
  <c r="H39" i="3"/>
  <c r="H40" i="3"/>
  <c r="H41" i="3"/>
  <c r="H42" i="3"/>
  <c r="H43" i="3"/>
  <c r="H45" i="3"/>
  <c r="B80" i="3"/>
  <c r="F77" i="3"/>
  <c r="H63" i="3"/>
  <c r="H61" i="3"/>
  <c r="H62" i="3"/>
  <c r="H60" i="3"/>
  <c r="F72" i="3"/>
  <c r="F55" i="3"/>
  <c r="F46" i="3"/>
  <c r="D80" i="3"/>
  <c r="F64" i="3"/>
  <c r="C80" i="3"/>
  <c r="F33" i="3"/>
  <c r="E80" i="3"/>
  <c r="F78" i="3"/>
  <c r="F79" i="3"/>
  <c r="H33" i="3" l="1"/>
  <c r="F80" i="3"/>
  <c r="H9" i="3"/>
  <c r="H46" i="3"/>
  <c r="H64" i="3"/>
</calcChain>
</file>

<file path=xl/sharedStrings.xml><?xml version="1.0" encoding="utf-8"?>
<sst xmlns="http://schemas.openxmlformats.org/spreadsheetml/2006/main" count="1672" uniqueCount="431">
  <si>
    <t>Category</t>
  </si>
  <si>
    <t>Net Sales</t>
  </si>
  <si>
    <t>Profit</t>
  </si>
  <si>
    <t>Analysis</t>
  </si>
  <si>
    <t>KPIs, business questions (formulas) and written insights. Figures in INR.</t>
  </si>
  <si>
    <t>A. KPI Summary</t>
  </si>
  <si>
    <t>KPI</t>
  </si>
  <si>
    <t>Value</t>
  </si>
  <si>
    <t>How it is calculated</t>
  </si>
  <si>
    <t>Raw records (Raw_Data)</t>
  </si>
  <si>
    <t>Count of rows in the original data</t>
  </si>
  <si>
    <t>Duplicate records removed</t>
  </si>
  <si>
    <t>Raw records minus clean records</t>
  </si>
  <si>
    <t>Clean records / Total Orders</t>
  </si>
  <si>
    <t>Unique Order_IDs after de-duplication</t>
  </si>
  <si>
    <t>Date range - first order</t>
  </si>
  <si>
    <t>MIN of Order_Date</t>
  </si>
  <si>
    <t>Date range - last order</t>
  </si>
  <si>
    <t>MAX of Order_Date</t>
  </si>
  <si>
    <t>Total Quantity</t>
  </si>
  <si>
    <t>SUM of Quantity</t>
  </si>
  <si>
    <t>Gross Sales</t>
  </si>
  <si>
    <t>Quantity x Unit_Price</t>
  </si>
  <si>
    <t>Total Discount Given</t>
  </si>
  <si>
    <t>Gross Sales x Discount %</t>
  </si>
  <si>
    <t>Total Sales (Net Sales)</t>
  </si>
  <si>
    <t>Gross Sales - Discount</t>
  </si>
  <si>
    <t>Total Cost (assumed)</t>
  </si>
  <si>
    <t>Category cost % (see Assumptions)</t>
  </si>
  <si>
    <t>Total Profit (assumed cost basis)</t>
  </si>
  <si>
    <t>Net Sales - Cost</t>
  </si>
  <si>
    <t>Profit Margin</t>
  </si>
  <si>
    <t>Profit / Net Sales</t>
  </si>
  <si>
    <t>Average Order Value</t>
  </si>
  <si>
    <t>AVERAGE of Net_Sales per order</t>
  </si>
  <si>
    <t>Average Quantity per Order</t>
  </si>
  <si>
    <t>AVERAGE of Quantity</t>
  </si>
  <si>
    <t>Average Discount %</t>
  </si>
  <si>
    <t>AVERAGE of Discount</t>
  </si>
  <si>
    <t>Effective discount (Discount / Gross)</t>
  </si>
  <si>
    <t>Total Discount / Gross Sales</t>
  </si>
  <si>
    <t>B. Business Questions</t>
  </si>
  <si>
    <t>Question</t>
  </si>
  <si>
    <t>Answer</t>
  </si>
  <si>
    <t>Formula used</t>
  </si>
  <si>
    <t>Highest-sales product</t>
  </si>
  <si>
    <t>INDEX/MATCH on MAX of product Net Sales</t>
  </si>
  <si>
    <t>Lowest-sales product</t>
  </si>
  <si>
    <t>INDEX/MATCH on MIN</t>
  </si>
  <si>
    <t>Highest-sales employee</t>
  </si>
  <si>
    <t>INDEX/MATCH on MAX</t>
  </si>
  <si>
    <t>Highest-sales city</t>
  </si>
  <si>
    <t>Highest-sales category</t>
  </si>
  <si>
    <t>Highest-profit category</t>
  </si>
  <si>
    <t>INDEX/MATCH on MAX of Profit</t>
  </si>
  <si>
    <t>Best month (Net Sales)</t>
  </si>
  <si>
    <t>Weakest month (Net Sales)</t>
  </si>
  <si>
    <t>Top City-Category combination</t>
  </si>
  <si>
    <t>MAX over City x Category matrix</t>
  </si>
  <si>
    <t>Orders with discount &gt;= 10% (COUNTIFS)</t>
  </si>
  <si>
    <t>COUNTIFS on Discount</t>
  </si>
  <si>
    <t>Orders with no discount (COUNTIFS)</t>
  </si>
  <si>
    <t>Electronics orders in Delhi (COUNTIFS)</t>
  </si>
  <si>
    <t>COUNTIFS on City and Category</t>
  </si>
  <si>
    <t>UPI orders (COUNTIFS)</t>
  </si>
  <si>
    <t>COUNTIFS on Payment_Method</t>
  </si>
  <si>
    <t>Orders sold outside employee Base City (COUNTIFS)</t>
  </si>
  <si>
    <t>COUNTIFS on City_vs_Base flag</t>
  </si>
  <si>
    <t>Avg order value - Electronics (AVERAGEIFS)</t>
  </si>
  <si>
    <t>AVERAGEIFS on Category</t>
  </si>
  <si>
    <t>Avg order value - discounted orders (AVERAGEIFS)</t>
  </si>
  <si>
    <t>AVERAGEIFS on Discount &gt; 0</t>
  </si>
  <si>
    <t>Avg order value - non-discounted orders (AVERAGEIFS)</t>
  </si>
  <si>
    <t>AVERAGEIFS on Discount = 0</t>
  </si>
  <si>
    <t>Avg discount % - Delhi orders (AVERAGEIFS)</t>
  </si>
  <si>
    <t>AVERAGEIFS on City</t>
  </si>
  <si>
    <t>C. Business Insights (number + meaning)</t>
  </si>
  <si>
    <t>1.  Total net sales are ₹3,809,520 from 117 unique orders, an average order value of ₹32,560.</t>
  </si>
  <si>
    <t>2.  Delhi leads with ₹1,818,000 (48% of sales); Mumbai is lowest at ₹720,320 (19%). Sales are concentrated, so city-level strategy matters.</t>
  </si>
  <si>
    <t>3.  Electronics generates 62% of sales (₹2,352,425) and the top profit category is Electronics (₹510,050). Revenue relies heavily on one category.</t>
  </si>
  <si>
    <t>4.  Laptop is the best product at ₹1,391,500 (37% of sales); T-Shirt is the weakest at ₹74,460. A few high-priced products dominate sales.</t>
  </si>
  <si>
    <t>5.  Priya is the top employee at ₹809,345 (21%); the lowest is Ayesha at ₹80,250. Output is uneven across the team.</t>
  </si>
  <si>
    <t>6.  Jan 2026 is the strongest month (₹1,307,050) and Apr 2026 the weakest (₹456,040). The 4-month window is short, so treat this as a pattern, not a proven trend.</t>
  </si>
  <si>
    <t>7.  Top city-category pair: Delhi - Electronics at ₹1,298,150 (34% of sales).</t>
  </si>
  <si>
    <t>8.  Discounts total ₹243,480 (6.0% of gross sales). Because cost is assumed on list price, heavy discounts on low-margin categories cut profit most.</t>
  </si>
  <si>
    <t>9.  21 of 117 orders (18%) were booked in a city different from the employee's Base_City. Worth checking whether this is normal cross-city selling or a data entry issue.</t>
  </si>
  <si>
    <t>Insight text is written from the verified figures above; if data changes, re-check the wording. Profit insights depend on the assumed cost %.</t>
  </si>
  <si>
    <t>Pivot Analysis</t>
  </si>
  <si>
    <t>Formula-driven summary tables (SUMIFS / COUNTIFS / AVERAGEIFS) on Clean_Data. All values update with the data.</t>
  </si>
  <si>
    <t>1. Sales by City</t>
  </si>
  <si>
    <t>City</t>
  </si>
  <si>
    <t>Orders</t>
  </si>
  <si>
    <t>Quantity</t>
  </si>
  <si>
    <t>Avg Order Value</t>
  </si>
  <si>
    <t>Sales Share</t>
  </si>
  <si>
    <t>Delhi</t>
  </si>
  <si>
    <t>Lucknow</t>
  </si>
  <si>
    <t>Mumbai</t>
  </si>
  <si>
    <t>Total</t>
  </si>
  <si>
    <t>2. Sales by Category</t>
  </si>
  <si>
    <t>Accessories</t>
  </si>
  <si>
    <t>Clothing</t>
  </si>
  <si>
    <t>Electronics</t>
  </si>
  <si>
    <t>Furniture</t>
  </si>
  <si>
    <t>3. Sales by Product</t>
  </si>
  <si>
    <t>Product</t>
  </si>
  <si>
    <t>Laptop</t>
  </si>
  <si>
    <t>Monitor</t>
  </si>
  <si>
    <t>Office Chair</t>
  </si>
  <si>
    <t>Desk</t>
  </si>
  <si>
    <t>Table Lamp</t>
  </si>
  <si>
    <t>Headphones</t>
  </si>
  <si>
    <t>Keyboard</t>
  </si>
  <si>
    <t>Backpack</t>
  </si>
  <si>
    <t>Jeans</t>
  </si>
  <si>
    <t>T-Shirt</t>
  </si>
  <si>
    <t>4. Sales by Employee</t>
  </si>
  <si>
    <t>Employee</t>
  </si>
  <si>
    <t>Priya</t>
  </si>
  <si>
    <t>Hamza</t>
  </si>
  <si>
    <t>Sara</t>
  </si>
  <si>
    <t>Arman</t>
  </si>
  <si>
    <t>Rahul</t>
  </si>
  <si>
    <t>Sana</t>
  </si>
  <si>
    <t>Kabir</t>
  </si>
  <si>
    <t>Ayesha</t>
  </si>
  <si>
    <t>5. Monthly Trend</t>
  </si>
  <si>
    <t>Month</t>
  </si>
  <si>
    <t>MoM Growth</t>
  </si>
  <si>
    <t>n/a</t>
  </si>
  <si>
    <t>6. Sales by Payment Method</t>
  </si>
  <si>
    <t>Payment Method</t>
  </si>
  <si>
    <t>Card</t>
  </si>
  <si>
    <t>Cash</t>
  </si>
  <si>
    <t>Net Banking</t>
  </si>
  <si>
    <t>UPI</t>
  </si>
  <si>
    <t>7. Net Sales: City x Category</t>
  </si>
  <si>
    <t>8. Profit: City x Category</t>
  </si>
  <si>
    <t>Order_ID</t>
  </si>
  <si>
    <t>Order_Date</t>
  </si>
  <si>
    <t>Product_ID</t>
  </si>
  <si>
    <t>Employee_ID</t>
  </si>
  <si>
    <t>Payment_Method</t>
  </si>
  <si>
    <t>Discount</t>
  </si>
  <si>
    <t>Sales_Provided</t>
  </si>
  <si>
    <t>Product_Name</t>
  </si>
  <si>
    <t>Unit_Price</t>
  </si>
  <si>
    <t>Employee_Name</t>
  </si>
  <si>
    <t>Employee_Base_City</t>
  </si>
  <si>
    <t>Gross_Sales</t>
  </si>
  <si>
    <t>Discount_Amount</t>
  </si>
  <si>
    <t>Net_Sales</t>
  </si>
  <si>
    <t>Cost</t>
  </si>
  <si>
    <t>Profit_Margin</t>
  </si>
  <si>
    <t>Sales_Check</t>
  </si>
  <si>
    <t>City_vs_Base</t>
  </si>
  <si>
    <t>Columns J:W are formulas. Net_Sales ties to Sales_Provided (Sales_Check = 0).</t>
  </si>
  <si>
    <t>O001</t>
  </si>
  <si>
    <t>P102</t>
  </si>
  <si>
    <t>E001</t>
  </si>
  <si>
    <t>O002</t>
  </si>
  <si>
    <t>P109</t>
  </si>
  <si>
    <t>E002</t>
  </si>
  <si>
    <t>O003</t>
  </si>
  <si>
    <t>P104</t>
  </si>
  <si>
    <t>O004</t>
  </si>
  <si>
    <t>P105</t>
  </si>
  <si>
    <t>O005</t>
  </si>
  <si>
    <t>E006</t>
  </si>
  <si>
    <t>O006</t>
  </si>
  <si>
    <t>P106</t>
  </si>
  <si>
    <t>E005</t>
  </si>
  <si>
    <t>O007</t>
  </si>
  <si>
    <t>O008</t>
  </si>
  <si>
    <t>O009</t>
  </si>
  <si>
    <t>E003</t>
  </si>
  <si>
    <t>O010</t>
  </si>
  <si>
    <t>P103</t>
  </si>
  <si>
    <t>E004</t>
  </si>
  <si>
    <t>O011</t>
  </si>
  <si>
    <t>O012</t>
  </si>
  <si>
    <t>O013</t>
  </si>
  <si>
    <t>P108</t>
  </si>
  <si>
    <t>O014</t>
  </si>
  <si>
    <t>P110</t>
  </si>
  <si>
    <t>E007</t>
  </si>
  <si>
    <t>O015</t>
  </si>
  <si>
    <t>P101</t>
  </si>
  <si>
    <t>O016</t>
  </si>
  <si>
    <t>P107</t>
  </si>
  <si>
    <t>E008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</si>
  <si>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</si>
  <si>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</si>
  <si>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</si>
  <si>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</si>
  <si>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</si>
  <si>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</si>
  <si>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</si>
  <si>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</si>
  <si>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</si>
  <si>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</si>
  <si>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</si>
  <si>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</si>
  <si>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</si>
  <si>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</si>
  <si>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</si>
  <si>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</si>
  <si>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</si>
  <si>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</si>
  <si>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</si>
  <si>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</si>
  <si>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</si>
  <si>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</si>
  <si>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</si>
  <si>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</si>
  <si>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</si>
  <si>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</si>
  <si>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</si>
  <si>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</si>
  <si>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</si>
  <si>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</si>
  <si>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</si>
  <si>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</si>
  <si>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</si>
  <si>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</si>
  <si>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</si>
  <si>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</si>
  <si>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</si>
  <si>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</si>
  <si>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</si>
  <si>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</si>
  <si>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</si>
  <si>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</si>
  <si>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</si>
  <si>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</si>
  <si>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</si>
  <si>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</si>
  <si>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</si>
  <si>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</si>
  <si>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</si>
  <si>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</si>
  <si>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</si>
  <si>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</si>
  <si>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</si>
  <si>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</si>
  <si>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</si>
  <si>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</si>
  <si>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</si>
  <si>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</si>
  <si>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</si>
  <si>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</si>
  <si>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</si>
  <si>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</si>
  <si>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</si>
  <si>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</si>
  <si>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</si>
  <si>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</si>
  <si>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</si>
  <si>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</si>
  <si>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</si>
  <si>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</si>
  <si>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</si>
  <si>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</si>
  <si>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</si>
  <si>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</si>
  <si>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</si>
  <si>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</si>
  <si>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</si>
  <si>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</si>
  <si>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</si>
  <si>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</si>
  <si>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</si>
  <si>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</si>
  <si>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</si>
  <si>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</si>
  <si>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</si>
  <si>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</si>
  <si>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</si>
  <si>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</si>
  <si>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</si>
  <si>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</si>
  <si>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</si>
  <si>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</si>
  <si>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</si>
  <si>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</si>
  <si>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</si>
  <si>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</si>
  <si>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</si>
  <si>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</si>
  <si>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</si>
  <si>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</si>
  <si>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</si>
  <si>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Original data, untouched (120 rows incl. 3 duplicates, spacing/case issues). Do not edit.</t>
  </si>
  <si>
    <t xml:space="preserve"> Delhi </t>
  </si>
  <si>
    <t xml:space="preserve"> UPI </t>
  </si>
  <si>
    <t>mumbai</t>
  </si>
  <si>
    <t xml:space="preserve"> Lucknow </t>
  </si>
  <si>
    <t xml:space="preserve"> Cash </t>
  </si>
  <si>
    <t>delhi</t>
  </si>
  <si>
    <t xml:space="preserve"> Net Banking </t>
  </si>
  <si>
    <t xml:space="preserve"> Card </t>
  </si>
  <si>
    <t>Base_City</t>
  </si>
  <si>
    <t>Assumptions</t>
  </si>
  <si>
    <t>Blue cells are inputs. Changing them recalculates Cost and Profit across the workbook.</t>
  </si>
  <si>
    <t>Cost % of Gross Sales</t>
  </si>
  <si>
    <t>Cost = Gross Sales (Quantity x Unit_Price) x category cost %. Cost is based on list price, not discounted price.</t>
  </si>
  <si>
    <t>Profit = Net Sales - Cost. Net Sales = Gross Sales x (1 - Discount).</t>
  </si>
  <si>
    <t>These cost percentages are ILLUSTRATIVE ASSUMPTIONS made by the analyst. The file contains no cost data.</t>
  </si>
  <si>
    <t>Profit figures are therefore only as reliable as these percentages; replace them with real margins when available.</t>
  </si>
  <si>
    <t>Data Quality / Cleaning Log</t>
  </si>
  <si>
    <t>Issues actually found in the uploaded file, plus checks that passed. Raw_Data keeps the original untouched.</t>
  </si>
  <si>
    <t>Issue found</t>
  </si>
  <si>
    <t>Column</t>
  </si>
  <si>
    <t>Records</t>
  </si>
  <si>
    <t>Action taken</t>
  </si>
  <si>
    <t>Reason</t>
  </si>
  <si>
    <t>Affected IDs / note</t>
  </si>
  <si>
    <t>Exact duplicate rows</t>
  </si>
  <si>
    <t>All columns (Order_ID)</t>
  </si>
  <si>
    <t>Removed (first occurrence kept)</t>
  </si>
  <si>
    <t>Same Order_ID with identical values in every field; a repeated entry, not a second sale</t>
  </si>
  <si>
    <t>O035, O079, O110</t>
  </si>
  <si>
    <t>Inconsistent capitalization (delhi / mumbai)</t>
  </si>
  <si>
    <t>Standardized to Proper case</t>
  </si>
  <si>
    <t>Same city written two ways would split totals</t>
  </si>
  <si>
    <t>Leading/trailing spaces</t>
  </si>
  <si>
    <t>Trimmed</t>
  </si>
  <si>
    <t>Hidden spaces break SUMIFS/COUNTIFS matching</t>
  </si>
  <si>
    <t>Hidden spaces create false extra payment categories</t>
  </si>
  <si>
    <t>Missing Order_ID numbers in sequence</t>
  </si>
  <si>
    <t>None - kept as is, flagged</t>
  </si>
  <si>
    <t>Cannot know if these orders existed; values not invented</t>
  </si>
  <si>
    <t>O036, O080, O111</t>
  </si>
  <si>
    <t>Sale city differs from employee Base_City</t>
  </si>
  <si>
    <t>City vs Employee_Base_City</t>
  </si>
  <si>
    <t>Kept; flagged in City_vs_Base column</t>
  </si>
  <si>
    <t>May be legitimate cross-city sales; City (where sold) is used for city analysis</t>
  </si>
  <si>
    <t>See Clean_Data col W</t>
  </si>
  <si>
    <t>No cost data provided</t>
  </si>
  <si>
    <t>Profit calculated with assumed category cost %</t>
  </si>
  <si>
    <t>Brief asks for profit; cost % are analyst assumptions (Assumptions sheet)</t>
  </si>
  <si>
    <t>Assumption</t>
  </si>
  <si>
    <t>Validation checks passed (no action needed)</t>
  </si>
  <si>
    <t>Check</t>
  </si>
  <si>
    <t>Result</t>
  </si>
  <si>
    <t>Blank cells / missing values</t>
  </si>
  <si>
    <t>All raw columns</t>
  </si>
  <si>
    <t>None found</t>
  </si>
  <si>
    <t>Blank rows or columns</t>
  </si>
  <si>
    <t>Raw_Data</t>
  </si>
  <si>
    <t>Order_Date stored as true dates</t>
  </si>
  <si>
    <t>All 120 valid dates, 01-Jan-2026 to 30-Apr-2026</t>
  </si>
  <si>
    <t>Quantity / Discount numeric and in range</t>
  </si>
  <si>
    <t>Quantity, Discount</t>
  </si>
  <si>
    <t>Quantity 1-8; Discount 0%, 5%, 10%, 15%</t>
  </si>
  <si>
    <t>Product_ID / Employee_ID found in masters</t>
  </si>
  <si>
    <t>Product_ID, Employee_ID</t>
  </si>
  <si>
    <t>All IDs matched, no orphans</t>
  </si>
  <si>
    <t>Sales_Provided = Qty x Price x (1 - Discount)</t>
  </si>
  <si>
    <t>Matched for all rows; Sales_Check column = 0</t>
  </si>
  <si>
    <t>Existing formulas in source</t>
  </si>
  <si>
    <t>All sheets</t>
  </si>
  <si>
    <t>None present</t>
  </si>
  <si>
    <t>Record count reconciliation</t>
  </si>
  <si>
    <t>Original records</t>
  </si>
  <si>
    <t>Duplicates removed</t>
  </si>
  <si>
    <t>Clean records</t>
  </si>
  <si>
    <t>Project Notes / README</t>
  </si>
  <si>
    <t>E-Commerce Sales Performance Analysis | Source: September_Excel_Capstone_Project.xlsx</t>
  </si>
  <si>
    <t>SHEETS</t>
  </si>
  <si>
    <t>Dashboard</t>
  </si>
  <si>
    <t>KPI cards, 5 charts, City and Category dropdown filters</t>
  </si>
  <si>
    <t>KPI summary, business questions (COUNTIFS/AVERAGEIFS/INDEX-MATCH), written insights</t>
  </si>
  <si>
    <t>Pivot_Analysis</t>
  </si>
  <si>
    <t>Formula-based pivot-style tables by City, Category, Product, Employee, Month, Payment, City x Category</t>
  </si>
  <si>
    <t>Clean_Data</t>
  </si>
  <si>
    <t>Cleaned orders as an Excel Table (tblSales) with lookup and calculated columns</t>
  </si>
  <si>
    <t>Original sales data, unchanged</t>
  </si>
  <si>
    <t>Product_Master / Employee_Master</t>
  </si>
  <si>
    <t>Lookup tables from the source file</t>
  </si>
  <si>
    <t>Category cost % used for Profit (editable)</t>
  </si>
  <si>
    <t>Data_Quality_Log</t>
  </si>
  <si>
    <t>Issues found, actions, validation checks</t>
  </si>
  <si>
    <t>Chart_Data</t>
  </si>
  <si>
    <t>Helper tables that feed Dashboard charts</t>
  </si>
  <si>
    <t>CLEANING STEPS</t>
  </si>
  <si>
    <t>1</t>
  </si>
  <si>
    <t>Trimmed spaces in City and Payment_Method (and ID fields as a precaution)</t>
  </si>
  <si>
    <t>2</t>
  </si>
  <si>
    <t>Standardized City to Proper case (delhi -&gt; Delhi, mumbai -&gt; Mumbai)</t>
  </si>
  <si>
    <t>3</t>
  </si>
  <si>
    <t>Removed 3 exact duplicate rows (O035, O079, O110); 120 -&gt; 117 records</t>
  </si>
  <si>
    <t>4</t>
  </si>
  <si>
    <t>No values were invented; missing Order_IDs and city mismatches are flagged, not changed</t>
  </si>
  <si>
    <t>KEY FORMULAS</t>
  </si>
  <si>
    <t>Lookups</t>
  </si>
  <si>
    <t>INDEX/MATCH on Product_Master and Employee_Master (Product_Name, Category, Unit_Price, Employee_Name, Base_City). Equivalent to XLOOKUP, chosen for compatibility.</t>
  </si>
  <si>
    <t>Gross Sales - Gross Sales x Discount</t>
  </si>
  <si>
    <t>Cost / Profit</t>
  </si>
  <si>
    <t>Cost = Gross Sales x category cost %; Profit = Net Sales - Cost</t>
  </si>
  <si>
    <t>DATE(YEAR(Order_Date), MONTH(Order_Date), 1) shown as mmm yyyy</t>
  </si>
  <si>
    <t>Summaries</t>
  </si>
  <si>
    <t>SUMIFS, COUNTIFS, AVERAGEIFS on Clean_Data ranges</t>
  </si>
  <si>
    <t>ASSUMPTIONS</t>
  </si>
  <si>
    <t>Cost %</t>
  </si>
  <si>
    <t>Electronics 75%, Furniture 65%, Clothing 50%, Accessories 55% of gross sales. Illustrative; not in source data. Edit on Assumptions sheet.</t>
  </si>
  <si>
    <t>City analysis</t>
  </si>
  <si>
    <t>Uses the City where the order was placed, not the employee Base_City</t>
  </si>
  <si>
    <t>Currency</t>
  </si>
  <si>
    <t>INR; source gives no currency symbol, assumed Indian Rupees</t>
  </si>
  <si>
    <t>LIMITATIONS</t>
  </si>
  <si>
    <t>Pivot tables / slicers</t>
  </si>
  <si>
    <t>Built with openpyxl, which cannot create native PivotTables or slicers. Equivalent formula-based summary tables and dropdown filters are provided. To add real slicers: click Clean_Data &gt; Table Design &gt; Insert Slicer.</t>
  </si>
  <si>
    <t>Short period</t>
  </si>
  <si>
    <t>Only Jan-Apr 2026 (4 months, 117 orders), so trends are indicative only</t>
  </si>
  <si>
    <t>Based on assumed cost %, not actual cost</t>
  </si>
  <si>
    <t>Insights text</t>
  </si>
  <si>
    <t>Written from current figures; re-check if the data changes</t>
  </si>
  <si>
    <t>Helper tables feeding the Dashboard charts. They respond to the Dashboard City / Category dropdowns. Do not edit.</t>
  </si>
  <si>
    <t>City criterion</t>
  </si>
  <si>
    <t>Category criterion</t>
  </si>
  <si>
    <t>Month Start</t>
  </si>
  <si>
    <t>Jan 2026</t>
  </si>
  <si>
    <t>Feb 2026</t>
  </si>
  <si>
    <t>Mar 2026</t>
  </si>
  <si>
    <t>Apr 2026</t>
  </si>
  <si>
    <t>Category (City filter)</t>
  </si>
  <si>
    <t>City (Category filter)</t>
  </si>
  <si>
    <t>Product (both filters)</t>
  </si>
  <si>
    <t>Employee (both filters)</t>
  </si>
  <si>
    <t>OrdeID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</si>
</sst>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;&quot;(₹&quot;#,##0\);\-"/>
    <numFmt numFmtId="165" formatCode="0.0%"/>
    <numFmt numFmtId="166" formatCode="dd\-mmm\-yyyy"/>
    <numFmt numFmtId="167" formatCode="0.0"/>
    <numFmt numFmtId="168" formatCode="mmm\ yyyy"/>
  </numFmts>
  <fonts count="13" x14ac:knownFonts="1">
    <font>
      <sz val="11"/>
      <color theme="1"/>
      <name val="Calibri"/>
      <family val="2"/>
      <charset val="1"/>
    </font>
    <font>
      <i/>
      <sz val="9"/>
      <color rgb="FF595959"/>
      <name val="Arial"/>
      <charset val="1"/>
    </font>
    <font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6"/>
      <color rgb="FF1F4E79"/>
      <name val="Arial"/>
      <charset val="1"/>
    </font>
    <font>
      <i/>
      <sz val="10"/>
      <color rgb="FF595959"/>
      <name val="Arial"/>
      <charset val="1"/>
    </font>
    <font>
      <b/>
      <sz val="12"/>
      <color rgb="FF1F4E79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99"/>
        <bgColor rgb="FFCCFFCC"/>
      </patternFill>
    </fill>
    <fill>
      <patternFill patternType="solid">
        <fgColor rgb="FFDDEBF7"/>
        <b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1" xfId="0" applyFont="1" applyBorder="1"/>
    <xf numFmtId="3" fontId="8" fillId="0" borderId="1" xfId="0" applyNumberFormat="1" applyFont="1" applyBorder="1" applyAlignment="1">
      <alignment horizontal="right"/>
    </xf>
    <xf numFmtId="0" fontId="2" fillId="0" borderId="0" xfId="0" applyFont="1"/>
    <xf numFmtId="166" fontId="8" fillId="0" borderId="1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5" fontId="8" fillId="0" borderId="1" xfId="0" applyNumberFormat="1" applyFont="1" applyBorder="1" applyAlignment="1">
      <alignment horizontal="right"/>
    </xf>
    <xf numFmtId="167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8" fillId="4" borderId="1" xfId="0" applyFont="1" applyFill="1" applyBorder="1"/>
    <xf numFmtId="3" fontId="8" fillId="4" borderId="1" xfId="0" applyNumberFormat="1" applyFont="1" applyFill="1" applyBorder="1"/>
    <xf numFmtId="164" fontId="8" fillId="4" borderId="1" xfId="0" applyNumberFormat="1" applyFont="1" applyFill="1" applyBorder="1"/>
    <xf numFmtId="165" fontId="8" fillId="4" borderId="1" xfId="0" applyNumberFormat="1" applyFont="1" applyFill="1" applyBorder="1"/>
    <xf numFmtId="168" fontId="4" fillId="0" borderId="1" xfId="0" applyNumberFormat="1" applyFont="1" applyBorder="1" applyAlignment="1">
      <alignment horizontal="left"/>
    </xf>
    <xf numFmtId="165" fontId="4" fillId="0" borderId="1" xfId="0" applyNumberFormat="1" applyFont="1" applyBorder="1" applyAlignment="1">
      <alignment horizontal="right"/>
    </xf>
    <xf numFmtId="0" fontId="4" fillId="4" borderId="1" xfId="0" applyFont="1" applyFill="1" applyBorder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166" fontId="4" fillId="0" borderId="0" xfId="0" applyNumberFormat="1" applyFont="1" applyAlignment="1">
      <alignment horizontal="center"/>
    </xf>
    <xf numFmtId="1" fontId="4" fillId="0" borderId="0" xfId="0" applyNumberFormat="1" applyFont="1"/>
    <xf numFmtId="9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8" fontId="4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/>
    <xf numFmtId="166" fontId="4" fillId="0" borderId="0" xfId="0" applyNumberFormat="1" applyFont="1"/>
    <xf numFmtId="0" fontId="3" fillId="2" borderId="1" xfId="0" applyFont="1" applyFill="1" applyBorder="1"/>
    <xf numFmtId="9" fontId="9" fillId="3" borderId="1" xfId="0" applyNumberFormat="1" applyFont="1" applyFill="1" applyBorder="1"/>
    <xf numFmtId="0" fontId="10" fillId="0" borderId="0" xfId="0" applyFont="1"/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/>
    </xf>
    <xf numFmtId="0" fontId="8" fillId="0" borderId="0" xfId="0" applyFont="1"/>
    <xf numFmtId="3" fontId="8" fillId="0" borderId="0" xfId="0" applyNumberFormat="1" applyFont="1"/>
    <xf numFmtId="0" fontId="11" fillId="2" borderId="0" xfId="0" applyFont="1" applyFill="1"/>
    <xf numFmtId="0" fontId="4" fillId="2" borderId="0" xfId="0" applyFont="1" applyFill="1"/>
    <xf numFmtId="0" fontId="8" fillId="0" borderId="0" xfId="0" applyFont="1" applyAlignment="1">
      <alignment vertical="top"/>
    </xf>
    <xf numFmtId="168" fontId="4" fillId="0" borderId="0" xfId="0" applyNumberFormat="1" applyFont="1"/>
    <xf numFmtId="0" fontId="1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7F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A6A6A6"/>
      <rgbColor rgb="FF003366"/>
      <rgbColor rgb="FF70AD47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W118" totalsRowShown="0">
  <autoFilter ref="A1:W118" xr:uid="{00000000-0009-0000-0100-000001000000}"/>
  <tableColumns count="23">
    <tableColumn id="1" xr3:uid="{00000000-0010-0000-0000-000001000000}" name="OrdeID"/>
    <tableColumn id="2" xr3:uid="{00000000-0010-0000-0000-000002000000}" name="Order_Date"/>
    <tableColumn id="3" xr3:uid="{00000000-0010-0000-0000-000003000000}" name="Product_ID"/>
    <tableColumn id="4" xr3:uid="{00000000-0010-0000-0000-000004000000}" name="Employee_ID"/>
    <tableColumn id="5" xr3:uid="{00000000-0010-0000-0000-000005000000}" name="City"/>
    <tableColumn id="6" xr3:uid="{00000000-0010-0000-0000-000006000000}" name="Payment_Method"/>
    <tableColumn id="7" xr3:uid="{00000000-0010-0000-0000-000007000000}" name="Quantity"/>
    <tableColumn id="8" xr3:uid="{00000000-0010-0000-0000-000008000000}" name="Discount"/>
    <tableColumn id="9" xr3:uid="{00000000-0010-0000-0000-000009000000}" name="Sales_Provided"/>
    <tableColumn id="10" xr3:uid="{00000000-0010-0000-0000-00000A000000}" name="Product_Name"/>
    <tableColumn id="11" xr3:uid="{00000000-0010-0000-0000-00000B000000}" name="Category"/>
    <tableColumn id="12" xr3:uid="{00000000-0010-0000-0000-00000C000000}" name="Unit_Price"/>
    <tableColumn id="13" xr3:uid="{00000000-0010-0000-0000-00000D000000}" name="Employee_Name"/>
    <tableColumn id="14" xr3:uid="{00000000-0010-0000-0000-00000E000000}" name="Employee_Base_City"/>
    <tableColumn id="15" xr3:uid="{00000000-0010-0000-0000-00000F000000}" name="Gross_Sales"/>
    <tableColumn id="16" xr3:uid="{00000000-0010-0000-0000-000010000000}" name="Discount_Amount"/>
    <tableColumn id="17" xr3:uid="{00000000-0010-0000-0000-000011000000}" name="Net_Sales"/>
    <tableColumn id="18" xr3:uid="{00000000-0010-0000-0000-000012000000}" name="Cost"/>
    <tableColumn id="19" xr3:uid="{00000000-0010-0000-0000-000013000000}" name="Profit"/>
    <tableColumn id="20" xr3:uid="{00000000-0010-0000-0000-000014000000}" name="Profit_Margin"/>
    <tableColumn id="21" xr3:uid="{00000000-0010-0000-0000-000015000000}" name="Month"/>
    <tableColumn id="22" xr3:uid="{00000000-0010-0000-0000-000016000000}" name="Sales_Check"/>
    <tableColumn id="23" xr3:uid="{00000000-0010-0000-0000-000017000000}" name="City_vs_Ba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6A6A6"/>
  </sheetPr>
  <dimension ref="A1:K12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13" customWidth="1"/>
    <col min="3" max="3" width="11" customWidth="1"/>
    <col min="4" max="5" width="12" customWidth="1"/>
    <col min="6" max="6" width="15" customWidth="1"/>
    <col min="7" max="8" width="10" customWidth="1"/>
    <col min="9" max="9" width="15" customWidth="1"/>
  </cols>
  <sheetData>
    <row r="1" spans="1:11" x14ac:dyDescent="0.25">
      <c r="A1" s="35" t="s">
        <v>138</v>
      </c>
      <c r="B1" s="35" t="s">
        <v>139</v>
      </c>
      <c r="C1" s="35" t="s">
        <v>140</v>
      </c>
      <c r="D1" s="35" t="s">
        <v>141</v>
      </c>
      <c r="E1" s="35" t="s">
        <v>90</v>
      </c>
      <c r="F1" s="35" t="s">
        <v>142</v>
      </c>
      <c r="G1" s="35" t="s">
        <v>92</v>
      </c>
      <c r="H1" s="35" t="s">
        <v>143</v>
      </c>
      <c r="I1" s="35" t="s">
        <v>144</v>
      </c>
      <c r="K1" s="15" t="s">
        <v>292</v>
      </c>
    </row>
    <row r="2" spans="1:11" x14ac:dyDescent="0.25">
      <c r="A2" s="36" t="s">
        <v>157</v>
      </c>
      <c r="B2" s="37">
        <v>46109</v>
      </c>
      <c r="C2" s="36" t="s">
        <v>158</v>
      </c>
      <c r="D2" s="36" t="s">
        <v>159</v>
      </c>
      <c r="E2" s="36" t="s">
        <v>96</v>
      </c>
      <c r="F2" s="36" t="s">
        <v>132</v>
      </c>
      <c r="G2" s="36">
        <v>3</v>
      </c>
      <c r="H2" s="31">
        <v>0</v>
      </c>
      <c r="I2" s="32">
        <v>54000</v>
      </c>
    </row>
    <row r="3" spans="1:11" x14ac:dyDescent="0.25">
      <c r="A3" s="36" t="s">
        <v>160</v>
      </c>
      <c r="B3" s="37">
        <v>46050</v>
      </c>
      <c r="C3" s="36" t="s">
        <v>161</v>
      </c>
      <c r="D3" s="36" t="s">
        <v>162</v>
      </c>
      <c r="E3" s="36" t="s">
        <v>95</v>
      </c>
      <c r="F3" s="36" t="s">
        <v>135</v>
      </c>
      <c r="G3" s="36">
        <v>1</v>
      </c>
      <c r="H3" s="31">
        <v>0</v>
      </c>
      <c r="I3" s="32">
        <v>3500</v>
      </c>
    </row>
    <row r="4" spans="1:11" x14ac:dyDescent="0.25">
      <c r="A4" s="36" t="s">
        <v>163</v>
      </c>
      <c r="B4" s="37">
        <v>46098</v>
      </c>
      <c r="C4" s="36" t="s">
        <v>164</v>
      </c>
      <c r="D4" s="36" t="s">
        <v>159</v>
      </c>
      <c r="E4" s="36" t="s">
        <v>96</v>
      </c>
      <c r="F4" s="36" t="s">
        <v>134</v>
      </c>
      <c r="G4" s="36">
        <v>4</v>
      </c>
      <c r="H4" s="31">
        <v>0.15</v>
      </c>
      <c r="I4" s="32">
        <v>25500</v>
      </c>
    </row>
    <row r="5" spans="1:11" x14ac:dyDescent="0.25">
      <c r="A5" s="36" t="s">
        <v>165</v>
      </c>
      <c r="B5" s="37">
        <v>46042</v>
      </c>
      <c r="C5" s="36" t="s">
        <v>166</v>
      </c>
      <c r="D5" s="36" t="s">
        <v>159</v>
      </c>
      <c r="E5" s="36" t="s">
        <v>96</v>
      </c>
      <c r="F5" s="36" t="s">
        <v>134</v>
      </c>
      <c r="G5" s="36">
        <v>6</v>
      </c>
      <c r="H5" s="31">
        <v>0.1</v>
      </c>
      <c r="I5" s="32">
        <v>64800</v>
      </c>
    </row>
    <row r="6" spans="1:11" x14ac:dyDescent="0.25">
      <c r="A6" s="36" t="s">
        <v>167</v>
      </c>
      <c r="B6" s="37">
        <v>46131</v>
      </c>
      <c r="C6" s="36" t="s">
        <v>164</v>
      </c>
      <c r="D6" s="36" t="s">
        <v>168</v>
      </c>
      <c r="E6" s="36" t="s">
        <v>97</v>
      </c>
      <c r="F6" s="36" t="s">
        <v>134</v>
      </c>
      <c r="G6" s="36">
        <v>2</v>
      </c>
      <c r="H6" s="31">
        <v>0.1</v>
      </c>
      <c r="I6" s="32">
        <v>13500</v>
      </c>
    </row>
    <row r="7" spans="1:11" x14ac:dyDescent="0.25">
      <c r="A7" s="36" t="s">
        <v>169</v>
      </c>
      <c r="B7" s="37">
        <v>46033</v>
      </c>
      <c r="C7" s="36" t="s">
        <v>170</v>
      </c>
      <c r="D7" s="36" t="s">
        <v>171</v>
      </c>
      <c r="E7" s="36" t="s">
        <v>97</v>
      </c>
      <c r="F7" s="36" t="s">
        <v>134</v>
      </c>
      <c r="G7" s="36">
        <v>2</v>
      </c>
      <c r="H7" s="31">
        <v>0.15</v>
      </c>
      <c r="I7" s="32">
        <v>2040</v>
      </c>
    </row>
    <row r="8" spans="1:11" x14ac:dyDescent="0.25">
      <c r="A8" s="36" t="s">
        <v>172</v>
      </c>
      <c r="B8" s="37">
        <v>46028</v>
      </c>
      <c r="C8" s="36" t="s">
        <v>161</v>
      </c>
      <c r="D8" s="36" t="s">
        <v>171</v>
      </c>
      <c r="E8" s="36" t="s">
        <v>97</v>
      </c>
      <c r="F8" s="36" t="s">
        <v>133</v>
      </c>
      <c r="G8" s="36">
        <v>4</v>
      </c>
      <c r="H8" s="31">
        <v>0</v>
      </c>
      <c r="I8" s="32">
        <v>14000</v>
      </c>
    </row>
    <row r="9" spans="1:11" x14ac:dyDescent="0.25">
      <c r="A9" s="36" t="s">
        <v>173</v>
      </c>
      <c r="B9" s="37">
        <v>46081</v>
      </c>
      <c r="C9" s="36" t="s">
        <v>164</v>
      </c>
      <c r="D9" s="36" t="s">
        <v>171</v>
      </c>
      <c r="E9" s="36" t="s">
        <v>96</v>
      </c>
      <c r="F9" s="36" t="s">
        <v>135</v>
      </c>
      <c r="G9" s="36">
        <v>7</v>
      </c>
      <c r="H9" s="31">
        <v>0.1</v>
      </c>
      <c r="I9" s="32">
        <v>47250</v>
      </c>
    </row>
    <row r="10" spans="1:11" x14ac:dyDescent="0.25">
      <c r="A10" s="36" t="s">
        <v>174</v>
      </c>
      <c r="B10" s="37">
        <v>46100</v>
      </c>
      <c r="C10" s="36" t="s">
        <v>170</v>
      </c>
      <c r="D10" s="36" t="s">
        <v>175</v>
      </c>
      <c r="E10" s="36" t="s">
        <v>97</v>
      </c>
      <c r="F10" s="36" t="s">
        <v>132</v>
      </c>
      <c r="G10" s="36">
        <v>5</v>
      </c>
      <c r="H10" s="31">
        <v>0</v>
      </c>
      <c r="I10" s="32">
        <v>6000</v>
      </c>
    </row>
    <row r="11" spans="1:11" x14ac:dyDescent="0.25">
      <c r="A11" s="36" t="s">
        <v>176</v>
      </c>
      <c r="B11" s="37">
        <v>46110</v>
      </c>
      <c r="C11" s="36" t="s">
        <v>177</v>
      </c>
      <c r="D11" s="36" t="s">
        <v>178</v>
      </c>
      <c r="E11" s="36" t="s">
        <v>96</v>
      </c>
      <c r="F11" s="36" t="s">
        <v>134</v>
      </c>
      <c r="G11" s="36">
        <v>5</v>
      </c>
      <c r="H11" s="31">
        <v>0.05</v>
      </c>
      <c r="I11" s="32">
        <v>11875</v>
      </c>
    </row>
    <row r="12" spans="1:11" x14ac:dyDescent="0.25">
      <c r="A12" s="36" t="s">
        <v>179</v>
      </c>
      <c r="B12" s="37">
        <v>46057</v>
      </c>
      <c r="C12" s="36" t="s">
        <v>170</v>
      </c>
      <c r="D12" s="36" t="s">
        <v>159</v>
      </c>
      <c r="E12" s="36" t="s">
        <v>96</v>
      </c>
      <c r="F12" s="36" t="s">
        <v>135</v>
      </c>
      <c r="G12" s="36">
        <v>6</v>
      </c>
      <c r="H12" s="31">
        <v>0.15</v>
      </c>
      <c r="I12" s="32">
        <v>6120</v>
      </c>
    </row>
    <row r="13" spans="1:11" x14ac:dyDescent="0.25">
      <c r="A13" s="36" t="s">
        <v>180</v>
      </c>
      <c r="B13" s="37">
        <v>46073</v>
      </c>
      <c r="C13" s="36" t="s">
        <v>158</v>
      </c>
      <c r="D13" s="36" t="s">
        <v>178</v>
      </c>
      <c r="E13" s="36" t="s">
        <v>97</v>
      </c>
      <c r="F13" s="36" t="s">
        <v>133</v>
      </c>
      <c r="G13" s="36">
        <v>4</v>
      </c>
      <c r="H13" s="31">
        <v>0.15</v>
      </c>
      <c r="I13" s="32">
        <v>61200</v>
      </c>
    </row>
    <row r="14" spans="1:11" x14ac:dyDescent="0.25">
      <c r="A14" s="36" t="s">
        <v>181</v>
      </c>
      <c r="B14" s="37">
        <v>46137</v>
      </c>
      <c r="C14" s="36" t="s">
        <v>182</v>
      </c>
      <c r="D14" s="36" t="s">
        <v>175</v>
      </c>
      <c r="E14" s="36" t="s">
        <v>97</v>
      </c>
      <c r="F14" s="36" t="s">
        <v>132</v>
      </c>
      <c r="G14" s="36">
        <v>5</v>
      </c>
      <c r="H14" s="31">
        <v>0.15</v>
      </c>
      <c r="I14" s="32">
        <v>7650</v>
      </c>
    </row>
    <row r="15" spans="1:11" x14ac:dyDescent="0.25">
      <c r="A15" s="36" t="s">
        <v>183</v>
      </c>
      <c r="B15" s="37">
        <v>46119</v>
      </c>
      <c r="C15" s="36" t="s">
        <v>184</v>
      </c>
      <c r="D15" s="36" t="s">
        <v>185</v>
      </c>
      <c r="E15" s="36" t="s">
        <v>96</v>
      </c>
      <c r="F15" s="36" t="s">
        <v>132</v>
      </c>
      <c r="G15" s="36">
        <v>8</v>
      </c>
      <c r="H15" s="31">
        <v>0</v>
      </c>
      <c r="I15" s="32">
        <v>17600</v>
      </c>
    </row>
    <row r="16" spans="1:11" x14ac:dyDescent="0.25">
      <c r="A16" s="36" t="s">
        <v>186</v>
      </c>
      <c r="B16" s="37">
        <v>46072</v>
      </c>
      <c r="C16" s="36" t="s">
        <v>187</v>
      </c>
      <c r="D16" s="36" t="s">
        <v>162</v>
      </c>
      <c r="E16" s="36" t="s">
        <v>95</v>
      </c>
      <c r="F16" s="36" t="s">
        <v>132</v>
      </c>
      <c r="G16" s="36">
        <v>7</v>
      </c>
      <c r="H16" s="31">
        <v>0</v>
      </c>
      <c r="I16" s="32">
        <v>385000</v>
      </c>
    </row>
    <row r="17" spans="1:9" x14ac:dyDescent="0.25">
      <c r="A17" s="36" t="s">
        <v>188</v>
      </c>
      <c r="B17" s="37">
        <v>46121</v>
      </c>
      <c r="C17" s="36" t="s">
        <v>189</v>
      </c>
      <c r="D17" s="36" t="s">
        <v>190</v>
      </c>
      <c r="E17" s="36" t="s">
        <v>95</v>
      </c>
      <c r="F17" s="36" t="s">
        <v>135</v>
      </c>
      <c r="G17" s="36">
        <v>2</v>
      </c>
      <c r="H17" s="31">
        <v>0.1</v>
      </c>
      <c r="I17" s="32">
        <v>3960</v>
      </c>
    </row>
    <row r="18" spans="1:9" x14ac:dyDescent="0.25">
      <c r="A18" s="36" t="s">
        <v>191</v>
      </c>
      <c r="B18" s="37">
        <v>46115</v>
      </c>
      <c r="C18" s="36" t="s">
        <v>170</v>
      </c>
      <c r="D18" s="36" t="s">
        <v>162</v>
      </c>
      <c r="E18" s="36" t="s">
        <v>293</v>
      </c>
      <c r="F18" s="36" t="s">
        <v>132</v>
      </c>
      <c r="G18" s="36">
        <v>8</v>
      </c>
      <c r="H18" s="31">
        <v>0</v>
      </c>
      <c r="I18" s="32">
        <v>9600</v>
      </c>
    </row>
    <row r="19" spans="1:9" x14ac:dyDescent="0.25">
      <c r="A19" s="36" t="s">
        <v>192</v>
      </c>
      <c r="B19" s="37">
        <v>46042</v>
      </c>
      <c r="C19" s="36" t="s">
        <v>166</v>
      </c>
      <c r="D19" s="36" t="s">
        <v>175</v>
      </c>
      <c r="E19" s="36" t="s">
        <v>97</v>
      </c>
      <c r="F19" s="36" t="s">
        <v>135</v>
      </c>
      <c r="G19" s="36">
        <v>5</v>
      </c>
      <c r="H19" s="31">
        <v>0.05</v>
      </c>
      <c r="I19" s="32">
        <v>57000</v>
      </c>
    </row>
    <row r="20" spans="1:9" x14ac:dyDescent="0.25">
      <c r="A20" s="36" t="s">
        <v>193</v>
      </c>
      <c r="B20" s="37">
        <v>46025</v>
      </c>
      <c r="C20" s="36" t="s">
        <v>170</v>
      </c>
      <c r="D20" s="36" t="s">
        <v>175</v>
      </c>
      <c r="E20" s="36" t="s">
        <v>97</v>
      </c>
      <c r="F20" s="36" t="s">
        <v>294</v>
      </c>
      <c r="G20" s="36">
        <v>6</v>
      </c>
      <c r="H20" s="31">
        <v>0.15</v>
      </c>
      <c r="I20" s="32">
        <v>6120</v>
      </c>
    </row>
    <row r="21" spans="1:9" x14ac:dyDescent="0.25">
      <c r="A21" s="36" t="s">
        <v>194</v>
      </c>
      <c r="B21" s="37">
        <v>46135</v>
      </c>
      <c r="C21" s="36" t="s">
        <v>158</v>
      </c>
      <c r="D21" s="36" t="s">
        <v>168</v>
      </c>
      <c r="E21" s="36" t="s">
        <v>95</v>
      </c>
      <c r="F21" s="36" t="s">
        <v>132</v>
      </c>
      <c r="G21" s="36">
        <v>1</v>
      </c>
      <c r="H21" s="31">
        <v>0.05</v>
      </c>
      <c r="I21" s="32">
        <v>17100</v>
      </c>
    </row>
    <row r="22" spans="1:9" x14ac:dyDescent="0.25">
      <c r="A22" s="36" t="s">
        <v>195</v>
      </c>
      <c r="B22" s="37">
        <v>46039</v>
      </c>
      <c r="C22" s="36" t="s">
        <v>184</v>
      </c>
      <c r="D22" s="36" t="s">
        <v>162</v>
      </c>
      <c r="E22" s="36" t="s">
        <v>95</v>
      </c>
      <c r="F22" s="36" t="s">
        <v>134</v>
      </c>
      <c r="G22" s="36">
        <v>2</v>
      </c>
      <c r="H22" s="31">
        <v>0.05</v>
      </c>
      <c r="I22" s="32">
        <v>4180</v>
      </c>
    </row>
    <row r="23" spans="1:9" x14ac:dyDescent="0.25">
      <c r="A23" s="36" t="s">
        <v>196</v>
      </c>
      <c r="B23" s="37">
        <v>46114</v>
      </c>
      <c r="C23" s="36" t="s">
        <v>182</v>
      </c>
      <c r="D23" s="36" t="s">
        <v>175</v>
      </c>
      <c r="E23" s="36" t="s">
        <v>97</v>
      </c>
      <c r="F23" s="36" t="s">
        <v>134</v>
      </c>
      <c r="G23" s="36">
        <v>4</v>
      </c>
      <c r="H23" s="31">
        <v>0.05</v>
      </c>
      <c r="I23" s="32">
        <v>6840</v>
      </c>
    </row>
    <row r="24" spans="1:9" x14ac:dyDescent="0.25">
      <c r="A24" s="36" t="s">
        <v>197</v>
      </c>
      <c r="B24" s="37">
        <v>46038</v>
      </c>
      <c r="C24" s="36" t="s">
        <v>166</v>
      </c>
      <c r="D24" s="36" t="s">
        <v>185</v>
      </c>
      <c r="E24" s="36" t="s">
        <v>295</v>
      </c>
      <c r="F24" s="36" t="s">
        <v>133</v>
      </c>
      <c r="G24" s="36">
        <v>8</v>
      </c>
      <c r="H24" s="31">
        <v>0.15</v>
      </c>
      <c r="I24" s="32">
        <v>81600</v>
      </c>
    </row>
    <row r="25" spans="1:9" x14ac:dyDescent="0.25">
      <c r="A25" s="36" t="s">
        <v>198</v>
      </c>
      <c r="B25" s="37">
        <v>46023</v>
      </c>
      <c r="C25" s="36" t="s">
        <v>164</v>
      </c>
      <c r="D25" s="36" t="s">
        <v>178</v>
      </c>
      <c r="E25" s="36" t="s">
        <v>96</v>
      </c>
      <c r="F25" s="36" t="s">
        <v>135</v>
      </c>
      <c r="G25" s="36">
        <v>4</v>
      </c>
      <c r="H25" s="31">
        <v>0.05</v>
      </c>
      <c r="I25" s="32">
        <v>28500</v>
      </c>
    </row>
    <row r="26" spans="1:9" x14ac:dyDescent="0.25">
      <c r="A26" s="36" t="s">
        <v>199</v>
      </c>
      <c r="B26" s="37">
        <v>46088</v>
      </c>
      <c r="C26" s="36" t="s">
        <v>158</v>
      </c>
      <c r="D26" s="36" t="s">
        <v>159</v>
      </c>
      <c r="E26" s="36" t="s">
        <v>96</v>
      </c>
      <c r="F26" s="36" t="s">
        <v>135</v>
      </c>
      <c r="G26" s="36">
        <v>6</v>
      </c>
      <c r="H26" s="31">
        <v>0</v>
      </c>
      <c r="I26" s="32">
        <v>108000</v>
      </c>
    </row>
    <row r="27" spans="1:9" x14ac:dyDescent="0.25">
      <c r="A27" s="36" t="s">
        <v>200</v>
      </c>
      <c r="B27" s="37">
        <v>46054</v>
      </c>
      <c r="C27" s="36" t="s">
        <v>164</v>
      </c>
      <c r="D27" s="36" t="s">
        <v>171</v>
      </c>
      <c r="E27" s="36" t="s">
        <v>95</v>
      </c>
      <c r="F27" s="36" t="s">
        <v>132</v>
      </c>
      <c r="G27" s="36">
        <v>3</v>
      </c>
      <c r="H27" s="31">
        <v>0.15</v>
      </c>
      <c r="I27" s="32">
        <v>19125</v>
      </c>
    </row>
    <row r="28" spans="1:9" x14ac:dyDescent="0.25">
      <c r="A28" s="36" t="s">
        <v>201</v>
      </c>
      <c r="B28" s="37">
        <v>46077</v>
      </c>
      <c r="C28" s="36" t="s">
        <v>182</v>
      </c>
      <c r="D28" s="36" t="s">
        <v>185</v>
      </c>
      <c r="E28" s="36" t="s">
        <v>96</v>
      </c>
      <c r="F28" s="36" t="s">
        <v>135</v>
      </c>
      <c r="G28" s="36">
        <v>7</v>
      </c>
      <c r="H28" s="31">
        <v>0.1</v>
      </c>
      <c r="I28" s="32">
        <v>11340</v>
      </c>
    </row>
    <row r="29" spans="1:9" x14ac:dyDescent="0.25">
      <c r="A29" s="36" t="s">
        <v>202</v>
      </c>
      <c r="B29" s="37">
        <v>46116</v>
      </c>
      <c r="C29" s="36" t="s">
        <v>189</v>
      </c>
      <c r="D29" s="36" t="s">
        <v>190</v>
      </c>
      <c r="E29" s="36" t="s">
        <v>96</v>
      </c>
      <c r="F29" s="36" t="s">
        <v>135</v>
      </c>
      <c r="G29" s="36">
        <v>1</v>
      </c>
      <c r="H29" s="31">
        <v>0.15</v>
      </c>
      <c r="I29" s="32">
        <v>1870</v>
      </c>
    </row>
    <row r="30" spans="1:9" x14ac:dyDescent="0.25">
      <c r="A30" s="36" t="s">
        <v>203</v>
      </c>
      <c r="B30" s="37">
        <v>46077</v>
      </c>
      <c r="C30" s="36" t="s">
        <v>170</v>
      </c>
      <c r="D30" s="36" t="s">
        <v>162</v>
      </c>
      <c r="E30" s="36" t="s">
        <v>95</v>
      </c>
      <c r="F30" s="36" t="s">
        <v>132</v>
      </c>
      <c r="G30" s="36">
        <v>8</v>
      </c>
      <c r="H30" s="31">
        <v>0.05</v>
      </c>
      <c r="I30" s="32">
        <v>9120</v>
      </c>
    </row>
    <row r="31" spans="1:9" x14ac:dyDescent="0.25">
      <c r="A31" s="36" t="s">
        <v>204</v>
      </c>
      <c r="B31" s="37">
        <v>46029</v>
      </c>
      <c r="C31" s="36" t="s">
        <v>177</v>
      </c>
      <c r="D31" s="36" t="s">
        <v>171</v>
      </c>
      <c r="E31" s="36" t="s">
        <v>95</v>
      </c>
      <c r="F31" s="36" t="s">
        <v>135</v>
      </c>
      <c r="G31" s="36">
        <v>8</v>
      </c>
      <c r="H31" s="31">
        <v>0</v>
      </c>
      <c r="I31" s="32">
        <v>20000</v>
      </c>
    </row>
    <row r="32" spans="1:9" x14ac:dyDescent="0.25">
      <c r="A32" s="36" t="s">
        <v>205</v>
      </c>
      <c r="B32" s="37">
        <v>46084</v>
      </c>
      <c r="C32" s="36" t="s">
        <v>161</v>
      </c>
      <c r="D32" s="36" t="s">
        <v>159</v>
      </c>
      <c r="E32" s="36" t="s">
        <v>96</v>
      </c>
      <c r="F32" s="36" t="s">
        <v>132</v>
      </c>
      <c r="G32" s="36">
        <v>7</v>
      </c>
      <c r="H32" s="31">
        <v>0.15</v>
      </c>
      <c r="I32" s="32">
        <v>20825</v>
      </c>
    </row>
    <row r="33" spans="1:9" x14ac:dyDescent="0.25">
      <c r="A33" s="36" t="s">
        <v>206</v>
      </c>
      <c r="B33" s="37">
        <v>46056</v>
      </c>
      <c r="C33" s="36" t="s">
        <v>164</v>
      </c>
      <c r="D33" s="36" t="s">
        <v>185</v>
      </c>
      <c r="E33" s="36" t="s">
        <v>96</v>
      </c>
      <c r="F33" s="36" t="s">
        <v>134</v>
      </c>
      <c r="G33" s="36">
        <v>1</v>
      </c>
      <c r="H33" s="31">
        <v>0.15</v>
      </c>
      <c r="I33" s="32">
        <v>6375</v>
      </c>
    </row>
    <row r="34" spans="1:9" x14ac:dyDescent="0.25">
      <c r="A34" s="36" t="s">
        <v>207</v>
      </c>
      <c r="B34" s="37">
        <v>46060</v>
      </c>
      <c r="C34" s="36" t="s">
        <v>182</v>
      </c>
      <c r="D34" s="36" t="s">
        <v>171</v>
      </c>
      <c r="E34" s="36" t="s">
        <v>95</v>
      </c>
      <c r="F34" s="36" t="s">
        <v>134</v>
      </c>
      <c r="G34" s="36">
        <v>3</v>
      </c>
      <c r="H34" s="31">
        <v>0.05</v>
      </c>
      <c r="I34" s="32">
        <v>5130</v>
      </c>
    </row>
    <row r="35" spans="1:9" x14ac:dyDescent="0.25">
      <c r="A35" s="36" t="s">
        <v>208</v>
      </c>
      <c r="B35" s="37">
        <v>46029</v>
      </c>
      <c r="C35" s="36" t="s">
        <v>164</v>
      </c>
      <c r="D35" s="36" t="s">
        <v>159</v>
      </c>
      <c r="E35" s="36" t="s">
        <v>296</v>
      </c>
      <c r="F35" s="36" t="s">
        <v>135</v>
      </c>
      <c r="G35" s="36">
        <v>6</v>
      </c>
      <c r="H35" s="31">
        <v>0</v>
      </c>
      <c r="I35" s="32">
        <v>45000</v>
      </c>
    </row>
    <row r="36" spans="1:9" x14ac:dyDescent="0.25">
      <c r="A36" s="36" t="s">
        <v>209</v>
      </c>
      <c r="B36" s="37">
        <v>46131</v>
      </c>
      <c r="C36" s="36" t="s">
        <v>184</v>
      </c>
      <c r="D36" s="36" t="s">
        <v>190</v>
      </c>
      <c r="E36" s="36" t="s">
        <v>95</v>
      </c>
      <c r="F36" s="36" t="s">
        <v>132</v>
      </c>
      <c r="G36" s="36">
        <v>1</v>
      </c>
      <c r="H36" s="31">
        <v>0</v>
      </c>
      <c r="I36" s="32">
        <v>2200</v>
      </c>
    </row>
    <row r="37" spans="1:9" x14ac:dyDescent="0.25">
      <c r="A37" s="36" t="s">
        <v>209</v>
      </c>
      <c r="B37" s="37">
        <v>46131</v>
      </c>
      <c r="C37" s="36" t="s">
        <v>184</v>
      </c>
      <c r="D37" s="36" t="s">
        <v>190</v>
      </c>
      <c r="E37" s="36" t="s">
        <v>95</v>
      </c>
      <c r="F37" s="36" t="s">
        <v>132</v>
      </c>
      <c r="G37" s="36">
        <v>1</v>
      </c>
      <c r="H37" s="31">
        <v>0</v>
      </c>
      <c r="I37" s="32">
        <v>2200</v>
      </c>
    </row>
    <row r="38" spans="1:9" x14ac:dyDescent="0.25">
      <c r="A38" s="36" t="s">
        <v>210</v>
      </c>
      <c r="B38" s="37">
        <v>46107</v>
      </c>
      <c r="C38" s="36" t="s">
        <v>184</v>
      </c>
      <c r="D38" s="36" t="s">
        <v>178</v>
      </c>
      <c r="E38" s="36" t="s">
        <v>96</v>
      </c>
      <c r="F38" s="36" t="s">
        <v>135</v>
      </c>
      <c r="G38" s="36">
        <v>2</v>
      </c>
      <c r="H38" s="31">
        <v>0.15</v>
      </c>
      <c r="I38" s="32">
        <v>3740</v>
      </c>
    </row>
    <row r="39" spans="1:9" x14ac:dyDescent="0.25">
      <c r="A39" s="36" t="s">
        <v>211</v>
      </c>
      <c r="B39" s="37">
        <v>46073</v>
      </c>
      <c r="C39" s="36" t="s">
        <v>184</v>
      </c>
      <c r="D39" s="36" t="s">
        <v>168</v>
      </c>
      <c r="E39" s="36" t="s">
        <v>96</v>
      </c>
      <c r="F39" s="36" t="s">
        <v>297</v>
      </c>
      <c r="G39" s="36">
        <v>4</v>
      </c>
      <c r="H39" s="31">
        <v>0.1</v>
      </c>
      <c r="I39" s="32">
        <v>7920</v>
      </c>
    </row>
    <row r="40" spans="1:9" x14ac:dyDescent="0.25">
      <c r="A40" s="36" t="s">
        <v>212</v>
      </c>
      <c r="B40" s="37">
        <v>46102</v>
      </c>
      <c r="C40" s="36" t="s">
        <v>177</v>
      </c>
      <c r="D40" s="36" t="s">
        <v>171</v>
      </c>
      <c r="E40" s="36" t="s">
        <v>95</v>
      </c>
      <c r="F40" s="36" t="s">
        <v>135</v>
      </c>
      <c r="G40" s="36">
        <v>1</v>
      </c>
      <c r="H40" s="31">
        <v>0.15</v>
      </c>
      <c r="I40" s="32">
        <v>2125</v>
      </c>
    </row>
    <row r="41" spans="1:9" x14ac:dyDescent="0.25">
      <c r="A41" s="36" t="s">
        <v>213</v>
      </c>
      <c r="B41" s="37">
        <v>46142</v>
      </c>
      <c r="C41" s="36" t="s">
        <v>184</v>
      </c>
      <c r="D41" s="36" t="s">
        <v>162</v>
      </c>
      <c r="E41" s="36" t="s">
        <v>95</v>
      </c>
      <c r="F41" s="36" t="s">
        <v>132</v>
      </c>
      <c r="G41" s="36">
        <v>5</v>
      </c>
      <c r="H41" s="31">
        <v>0.05</v>
      </c>
      <c r="I41" s="32">
        <v>10450</v>
      </c>
    </row>
    <row r="42" spans="1:9" x14ac:dyDescent="0.25">
      <c r="A42" s="36" t="s">
        <v>214</v>
      </c>
      <c r="B42" s="37">
        <v>46129</v>
      </c>
      <c r="C42" s="36" t="s">
        <v>170</v>
      </c>
      <c r="D42" s="36" t="s">
        <v>162</v>
      </c>
      <c r="E42" s="36" t="s">
        <v>95</v>
      </c>
      <c r="F42" s="36" t="s">
        <v>133</v>
      </c>
      <c r="G42" s="36">
        <v>3</v>
      </c>
      <c r="H42" s="31">
        <v>0.15</v>
      </c>
      <c r="I42" s="32">
        <v>3060</v>
      </c>
    </row>
    <row r="43" spans="1:9" x14ac:dyDescent="0.25">
      <c r="A43" s="36" t="s">
        <v>215</v>
      </c>
      <c r="B43" s="37">
        <v>46135</v>
      </c>
      <c r="C43" s="36" t="s">
        <v>161</v>
      </c>
      <c r="D43" s="36" t="s">
        <v>171</v>
      </c>
      <c r="E43" s="36" t="s">
        <v>95</v>
      </c>
      <c r="F43" s="36" t="s">
        <v>135</v>
      </c>
      <c r="G43" s="36">
        <v>5</v>
      </c>
      <c r="H43" s="31">
        <v>0</v>
      </c>
      <c r="I43" s="32">
        <v>17500</v>
      </c>
    </row>
    <row r="44" spans="1:9" x14ac:dyDescent="0.25">
      <c r="A44" s="36" t="s">
        <v>216</v>
      </c>
      <c r="B44" s="37">
        <v>46059</v>
      </c>
      <c r="C44" s="36" t="s">
        <v>177</v>
      </c>
      <c r="D44" s="36" t="s">
        <v>171</v>
      </c>
      <c r="E44" s="36" t="s">
        <v>95</v>
      </c>
      <c r="F44" s="36" t="s">
        <v>135</v>
      </c>
      <c r="G44" s="36">
        <v>3</v>
      </c>
      <c r="H44" s="31">
        <v>0.1</v>
      </c>
      <c r="I44" s="32">
        <v>6750</v>
      </c>
    </row>
    <row r="45" spans="1:9" x14ac:dyDescent="0.25">
      <c r="A45" s="36" t="s">
        <v>217</v>
      </c>
      <c r="B45" s="37">
        <v>46055</v>
      </c>
      <c r="C45" s="36" t="s">
        <v>184</v>
      </c>
      <c r="D45" s="36" t="s">
        <v>178</v>
      </c>
      <c r="E45" s="36" t="s">
        <v>96</v>
      </c>
      <c r="F45" s="36" t="s">
        <v>132</v>
      </c>
      <c r="G45" s="36">
        <v>5</v>
      </c>
      <c r="H45" s="31">
        <v>0.15</v>
      </c>
      <c r="I45" s="32">
        <v>9350</v>
      </c>
    </row>
    <row r="46" spans="1:9" x14ac:dyDescent="0.25">
      <c r="A46" s="36" t="s">
        <v>218</v>
      </c>
      <c r="B46" s="37">
        <v>46065</v>
      </c>
      <c r="C46" s="36" t="s">
        <v>187</v>
      </c>
      <c r="D46" s="36" t="s">
        <v>162</v>
      </c>
      <c r="E46" s="36" t="s">
        <v>95</v>
      </c>
      <c r="F46" s="36" t="s">
        <v>133</v>
      </c>
      <c r="G46" s="36">
        <v>1</v>
      </c>
      <c r="H46" s="31">
        <v>0</v>
      </c>
      <c r="I46" s="32">
        <v>55000</v>
      </c>
    </row>
    <row r="47" spans="1:9" x14ac:dyDescent="0.25">
      <c r="A47" s="36" t="s">
        <v>219</v>
      </c>
      <c r="B47" s="37">
        <v>46037</v>
      </c>
      <c r="C47" s="36" t="s">
        <v>177</v>
      </c>
      <c r="D47" s="36" t="s">
        <v>171</v>
      </c>
      <c r="E47" s="36" t="s">
        <v>298</v>
      </c>
      <c r="F47" s="36" t="s">
        <v>134</v>
      </c>
      <c r="G47" s="36">
        <v>7</v>
      </c>
      <c r="H47" s="31">
        <v>0</v>
      </c>
      <c r="I47" s="32">
        <v>17500</v>
      </c>
    </row>
    <row r="48" spans="1:9" x14ac:dyDescent="0.25">
      <c r="A48" s="36" t="s">
        <v>220</v>
      </c>
      <c r="B48" s="37">
        <v>46039</v>
      </c>
      <c r="C48" s="36" t="s">
        <v>158</v>
      </c>
      <c r="D48" s="36" t="s">
        <v>175</v>
      </c>
      <c r="E48" s="36" t="s">
        <v>97</v>
      </c>
      <c r="F48" s="36" t="s">
        <v>133</v>
      </c>
      <c r="G48" s="36">
        <v>3</v>
      </c>
      <c r="H48" s="31">
        <v>0.15</v>
      </c>
      <c r="I48" s="32">
        <v>45900</v>
      </c>
    </row>
    <row r="49" spans="1:9" x14ac:dyDescent="0.25">
      <c r="A49" s="36" t="s">
        <v>221</v>
      </c>
      <c r="B49" s="37">
        <v>46110</v>
      </c>
      <c r="C49" s="36" t="s">
        <v>187</v>
      </c>
      <c r="D49" s="36" t="s">
        <v>171</v>
      </c>
      <c r="E49" s="36" t="s">
        <v>95</v>
      </c>
      <c r="F49" s="36" t="s">
        <v>135</v>
      </c>
      <c r="G49" s="36">
        <v>6</v>
      </c>
      <c r="H49" s="31">
        <v>0.05</v>
      </c>
      <c r="I49" s="32">
        <v>313500</v>
      </c>
    </row>
    <row r="50" spans="1:9" x14ac:dyDescent="0.25">
      <c r="A50" s="36" t="s">
        <v>222</v>
      </c>
      <c r="B50" s="37">
        <v>46133</v>
      </c>
      <c r="C50" s="36" t="s">
        <v>164</v>
      </c>
      <c r="D50" s="36" t="s">
        <v>162</v>
      </c>
      <c r="E50" s="36" t="s">
        <v>95</v>
      </c>
      <c r="F50" s="36" t="s">
        <v>134</v>
      </c>
      <c r="G50" s="36">
        <v>3</v>
      </c>
      <c r="H50" s="31">
        <v>0.05</v>
      </c>
      <c r="I50" s="32">
        <v>21375</v>
      </c>
    </row>
    <row r="51" spans="1:9" x14ac:dyDescent="0.25">
      <c r="A51" s="36" t="s">
        <v>223</v>
      </c>
      <c r="B51" s="37">
        <v>46125</v>
      </c>
      <c r="C51" s="36" t="s">
        <v>177</v>
      </c>
      <c r="D51" s="36" t="s">
        <v>175</v>
      </c>
      <c r="E51" s="36" t="s">
        <v>96</v>
      </c>
      <c r="F51" s="36" t="s">
        <v>132</v>
      </c>
      <c r="G51" s="36">
        <v>6</v>
      </c>
      <c r="H51" s="31">
        <v>0.15</v>
      </c>
      <c r="I51" s="32">
        <v>12750</v>
      </c>
    </row>
    <row r="52" spans="1:9" x14ac:dyDescent="0.25">
      <c r="A52" s="36" t="s">
        <v>224</v>
      </c>
      <c r="B52" s="37">
        <v>46132</v>
      </c>
      <c r="C52" s="36" t="s">
        <v>164</v>
      </c>
      <c r="D52" s="36" t="s">
        <v>171</v>
      </c>
      <c r="E52" s="36" t="s">
        <v>293</v>
      </c>
      <c r="F52" s="36" t="s">
        <v>135</v>
      </c>
      <c r="G52" s="36">
        <v>7</v>
      </c>
      <c r="H52" s="31">
        <v>0</v>
      </c>
      <c r="I52" s="32">
        <v>52500</v>
      </c>
    </row>
    <row r="53" spans="1:9" x14ac:dyDescent="0.25">
      <c r="A53" s="36" t="s">
        <v>225</v>
      </c>
      <c r="B53" s="37">
        <v>46128</v>
      </c>
      <c r="C53" s="36" t="s">
        <v>182</v>
      </c>
      <c r="D53" s="36" t="s">
        <v>178</v>
      </c>
      <c r="E53" s="36" t="s">
        <v>96</v>
      </c>
      <c r="F53" s="36" t="s">
        <v>134</v>
      </c>
      <c r="G53" s="36">
        <v>6</v>
      </c>
      <c r="H53" s="31">
        <v>0.1</v>
      </c>
      <c r="I53" s="32">
        <v>9720</v>
      </c>
    </row>
    <row r="54" spans="1:9" x14ac:dyDescent="0.25">
      <c r="A54" s="36" t="s">
        <v>226</v>
      </c>
      <c r="B54" s="37">
        <v>46058</v>
      </c>
      <c r="C54" s="36" t="s">
        <v>164</v>
      </c>
      <c r="D54" s="36" t="s">
        <v>178</v>
      </c>
      <c r="E54" s="36" t="s">
        <v>96</v>
      </c>
      <c r="F54" s="36" t="s">
        <v>132</v>
      </c>
      <c r="G54" s="36">
        <v>7</v>
      </c>
      <c r="H54" s="31">
        <v>0.1</v>
      </c>
      <c r="I54" s="32">
        <v>47250</v>
      </c>
    </row>
    <row r="55" spans="1:9" x14ac:dyDescent="0.25">
      <c r="A55" s="36" t="s">
        <v>227</v>
      </c>
      <c r="B55" s="37">
        <v>46037</v>
      </c>
      <c r="C55" s="36" t="s">
        <v>158</v>
      </c>
      <c r="D55" s="36" t="s">
        <v>171</v>
      </c>
      <c r="E55" s="36" t="s">
        <v>95</v>
      </c>
      <c r="F55" s="36" t="s">
        <v>134</v>
      </c>
      <c r="G55" s="36">
        <v>6</v>
      </c>
      <c r="H55" s="31">
        <v>0</v>
      </c>
      <c r="I55" s="32">
        <v>108000</v>
      </c>
    </row>
    <row r="56" spans="1:9" x14ac:dyDescent="0.25">
      <c r="A56" s="36" t="s">
        <v>228</v>
      </c>
      <c r="B56" s="37">
        <v>46099</v>
      </c>
      <c r="C56" s="36" t="s">
        <v>166</v>
      </c>
      <c r="D56" s="36" t="s">
        <v>175</v>
      </c>
      <c r="E56" s="36" t="s">
        <v>97</v>
      </c>
      <c r="F56" s="36" t="s">
        <v>133</v>
      </c>
      <c r="G56" s="36">
        <v>1</v>
      </c>
      <c r="H56" s="31">
        <v>0</v>
      </c>
      <c r="I56" s="32">
        <v>12000</v>
      </c>
    </row>
    <row r="57" spans="1:9" x14ac:dyDescent="0.25">
      <c r="A57" s="36" t="s">
        <v>229</v>
      </c>
      <c r="B57" s="37">
        <v>46138</v>
      </c>
      <c r="C57" s="36" t="s">
        <v>189</v>
      </c>
      <c r="D57" s="36" t="s">
        <v>168</v>
      </c>
      <c r="E57" s="36" t="s">
        <v>95</v>
      </c>
      <c r="F57" s="36" t="s">
        <v>134</v>
      </c>
      <c r="G57" s="36">
        <v>2</v>
      </c>
      <c r="H57" s="31">
        <v>0.15</v>
      </c>
      <c r="I57" s="32">
        <v>3740</v>
      </c>
    </row>
    <row r="58" spans="1:9" x14ac:dyDescent="0.25">
      <c r="A58" s="36" t="s">
        <v>230</v>
      </c>
      <c r="B58" s="37">
        <v>46069</v>
      </c>
      <c r="C58" s="36" t="s">
        <v>184</v>
      </c>
      <c r="D58" s="36" t="s">
        <v>178</v>
      </c>
      <c r="E58" s="36" t="s">
        <v>96</v>
      </c>
      <c r="F58" s="36" t="s">
        <v>299</v>
      </c>
      <c r="G58" s="36">
        <v>1</v>
      </c>
      <c r="H58" s="31">
        <v>0.05</v>
      </c>
      <c r="I58" s="32">
        <v>2090</v>
      </c>
    </row>
    <row r="59" spans="1:9" x14ac:dyDescent="0.25">
      <c r="A59" s="36" t="s">
        <v>231</v>
      </c>
      <c r="B59" s="37">
        <v>46087</v>
      </c>
      <c r="C59" s="36" t="s">
        <v>189</v>
      </c>
      <c r="D59" s="36" t="s">
        <v>162</v>
      </c>
      <c r="E59" s="36" t="s">
        <v>95</v>
      </c>
      <c r="F59" s="36" t="s">
        <v>133</v>
      </c>
      <c r="G59" s="36">
        <v>2</v>
      </c>
      <c r="H59" s="31">
        <v>0.1</v>
      </c>
      <c r="I59" s="32">
        <v>3960</v>
      </c>
    </row>
    <row r="60" spans="1:9" x14ac:dyDescent="0.25">
      <c r="A60" s="36" t="s">
        <v>232</v>
      </c>
      <c r="B60" s="37">
        <v>46076</v>
      </c>
      <c r="C60" s="36" t="s">
        <v>166</v>
      </c>
      <c r="D60" s="36" t="s">
        <v>185</v>
      </c>
      <c r="E60" s="36" t="s">
        <v>96</v>
      </c>
      <c r="F60" s="36" t="s">
        <v>133</v>
      </c>
      <c r="G60" s="36">
        <v>3</v>
      </c>
      <c r="H60" s="31">
        <v>0.05</v>
      </c>
      <c r="I60" s="32">
        <v>34200</v>
      </c>
    </row>
    <row r="61" spans="1:9" x14ac:dyDescent="0.25">
      <c r="A61" s="36" t="s">
        <v>233</v>
      </c>
      <c r="B61" s="37">
        <v>46061</v>
      </c>
      <c r="C61" s="36" t="s">
        <v>189</v>
      </c>
      <c r="D61" s="36" t="s">
        <v>175</v>
      </c>
      <c r="E61" s="36" t="s">
        <v>97</v>
      </c>
      <c r="F61" s="36" t="s">
        <v>133</v>
      </c>
      <c r="G61" s="36">
        <v>7</v>
      </c>
      <c r="H61" s="31">
        <v>0</v>
      </c>
      <c r="I61" s="32">
        <v>15400</v>
      </c>
    </row>
    <row r="62" spans="1:9" x14ac:dyDescent="0.25">
      <c r="A62" s="36" t="s">
        <v>234</v>
      </c>
      <c r="B62" s="37">
        <v>46079</v>
      </c>
      <c r="C62" s="36" t="s">
        <v>166</v>
      </c>
      <c r="D62" s="36" t="s">
        <v>178</v>
      </c>
      <c r="E62" s="36" t="s">
        <v>96</v>
      </c>
      <c r="F62" s="36" t="s">
        <v>133</v>
      </c>
      <c r="G62" s="36">
        <v>8</v>
      </c>
      <c r="H62" s="31">
        <v>0.15</v>
      </c>
      <c r="I62" s="32">
        <v>81600</v>
      </c>
    </row>
    <row r="63" spans="1:9" x14ac:dyDescent="0.25">
      <c r="A63" s="36" t="s">
        <v>235</v>
      </c>
      <c r="B63" s="37">
        <v>46088</v>
      </c>
      <c r="C63" s="36" t="s">
        <v>164</v>
      </c>
      <c r="D63" s="36" t="s">
        <v>190</v>
      </c>
      <c r="E63" s="36" t="s">
        <v>97</v>
      </c>
      <c r="F63" s="36" t="s">
        <v>132</v>
      </c>
      <c r="G63" s="36">
        <v>2</v>
      </c>
      <c r="H63" s="31">
        <v>0.1</v>
      </c>
      <c r="I63" s="32">
        <v>13500</v>
      </c>
    </row>
    <row r="64" spans="1:9" x14ac:dyDescent="0.25">
      <c r="A64" s="36" t="s">
        <v>236</v>
      </c>
      <c r="B64" s="37">
        <v>46126</v>
      </c>
      <c r="C64" s="36" t="s">
        <v>184</v>
      </c>
      <c r="D64" s="36" t="s">
        <v>168</v>
      </c>
      <c r="E64" s="36" t="s">
        <v>97</v>
      </c>
      <c r="F64" s="36" t="s">
        <v>132</v>
      </c>
      <c r="G64" s="36">
        <v>5</v>
      </c>
      <c r="H64" s="31">
        <v>0.05</v>
      </c>
      <c r="I64" s="32">
        <v>10450</v>
      </c>
    </row>
    <row r="65" spans="1:9" x14ac:dyDescent="0.25">
      <c r="A65" s="36" t="s">
        <v>237</v>
      </c>
      <c r="B65" s="37">
        <v>46081</v>
      </c>
      <c r="C65" s="36" t="s">
        <v>164</v>
      </c>
      <c r="D65" s="36" t="s">
        <v>175</v>
      </c>
      <c r="E65" s="36" t="s">
        <v>97</v>
      </c>
      <c r="F65" s="36" t="s">
        <v>132</v>
      </c>
      <c r="G65" s="36">
        <v>8</v>
      </c>
      <c r="H65" s="31">
        <v>0</v>
      </c>
      <c r="I65" s="32">
        <v>60000</v>
      </c>
    </row>
    <row r="66" spans="1:9" x14ac:dyDescent="0.25">
      <c r="A66" s="36" t="s">
        <v>238</v>
      </c>
      <c r="B66" s="37">
        <v>46054</v>
      </c>
      <c r="C66" s="36" t="s">
        <v>189</v>
      </c>
      <c r="D66" s="36" t="s">
        <v>178</v>
      </c>
      <c r="E66" s="36" t="s">
        <v>96</v>
      </c>
      <c r="F66" s="36" t="s">
        <v>134</v>
      </c>
      <c r="G66" s="36">
        <v>8</v>
      </c>
      <c r="H66" s="31">
        <v>0.15</v>
      </c>
      <c r="I66" s="32">
        <v>14960</v>
      </c>
    </row>
    <row r="67" spans="1:9" x14ac:dyDescent="0.25">
      <c r="A67" s="36" t="s">
        <v>239</v>
      </c>
      <c r="B67" s="37">
        <v>46125</v>
      </c>
      <c r="C67" s="36" t="s">
        <v>177</v>
      </c>
      <c r="D67" s="36" t="s">
        <v>159</v>
      </c>
      <c r="E67" s="36" t="s">
        <v>96</v>
      </c>
      <c r="F67" s="36" t="s">
        <v>134</v>
      </c>
      <c r="G67" s="36">
        <v>4</v>
      </c>
      <c r="H67" s="31">
        <v>0.05</v>
      </c>
      <c r="I67" s="32">
        <v>9500</v>
      </c>
    </row>
    <row r="68" spans="1:9" x14ac:dyDescent="0.25">
      <c r="A68" s="36" t="s">
        <v>240</v>
      </c>
      <c r="B68" s="37">
        <v>46040</v>
      </c>
      <c r="C68" s="36" t="s">
        <v>161</v>
      </c>
      <c r="D68" s="36" t="s">
        <v>190</v>
      </c>
      <c r="E68" s="36" t="s">
        <v>95</v>
      </c>
      <c r="F68" s="36" t="s">
        <v>132</v>
      </c>
      <c r="G68" s="36">
        <v>2</v>
      </c>
      <c r="H68" s="31">
        <v>0.15</v>
      </c>
      <c r="I68" s="32">
        <v>5950</v>
      </c>
    </row>
    <row r="69" spans="1:9" x14ac:dyDescent="0.25">
      <c r="A69" s="36" t="s">
        <v>241</v>
      </c>
      <c r="B69" s="37">
        <v>46118</v>
      </c>
      <c r="C69" s="36" t="s">
        <v>182</v>
      </c>
      <c r="D69" s="36" t="s">
        <v>168</v>
      </c>
      <c r="E69" s="36" t="s">
        <v>293</v>
      </c>
      <c r="F69" s="36" t="s">
        <v>134</v>
      </c>
      <c r="G69" s="36">
        <v>8</v>
      </c>
      <c r="H69" s="31">
        <v>0.05</v>
      </c>
      <c r="I69" s="32">
        <v>13680</v>
      </c>
    </row>
    <row r="70" spans="1:9" x14ac:dyDescent="0.25">
      <c r="A70" s="36" t="s">
        <v>242</v>
      </c>
      <c r="B70" s="37">
        <v>46103</v>
      </c>
      <c r="C70" s="36" t="s">
        <v>182</v>
      </c>
      <c r="D70" s="36" t="s">
        <v>190</v>
      </c>
      <c r="E70" s="36" t="s">
        <v>298</v>
      </c>
      <c r="F70" s="36" t="s">
        <v>132</v>
      </c>
      <c r="G70" s="36">
        <v>5</v>
      </c>
      <c r="H70" s="31">
        <v>0.15</v>
      </c>
      <c r="I70" s="32">
        <v>7650</v>
      </c>
    </row>
    <row r="71" spans="1:9" x14ac:dyDescent="0.25">
      <c r="A71" s="36" t="s">
        <v>243</v>
      </c>
      <c r="B71" s="37">
        <v>46065</v>
      </c>
      <c r="C71" s="36" t="s">
        <v>164</v>
      </c>
      <c r="D71" s="36" t="s">
        <v>171</v>
      </c>
      <c r="E71" s="36" t="s">
        <v>95</v>
      </c>
      <c r="F71" s="36" t="s">
        <v>133</v>
      </c>
      <c r="G71" s="36">
        <v>4</v>
      </c>
      <c r="H71" s="31">
        <v>0.1</v>
      </c>
      <c r="I71" s="32">
        <v>27000</v>
      </c>
    </row>
    <row r="72" spans="1:9" x14ac:dyDescent="0.25">
      <c r="A72" s="36" t="s">
        <v>244</v>
      </c>
      <c r="B72" s="37">
        <v>46113</v>
      </c>
      <c r="C72" s="36" t="s">
        <v>170</v>
      </c>
      <c r="D72" s="36" t="s">
        <v>162</v>
      </c>
      <c r="E72" s="36" t="s">
        <v>95</v>
      </c>
      <c r="F72" s="36" t="s">
        <v>132</v>
      </c>
      <c r="G72" s="36">
        <v>7</v>
      </c>
      <c r="H72" s="31">
        <v>0.05</v>
      </c>
      <c r="I72" s="32">
        <v>7980</v>
      </c>
    </row>
    <row r="73" spans="1:9" x14ac:dyDescent="0.25">
      <c r="A73" s="36" t="s">
        <v>245</v>
      </c>
      <c r="B73" s="37">
        <v>46030</v>
      </c>
      <c r="C73" s="36" t="s">
        <v>164</v>
      </c>
      <c r="D73" s="36" t="s">
        <v>162</v>
      </c>
      <c r="E73" s="36" t="s">
        <v>95</v>
      </c>
      <c r="F73" s="36" t="s">
        <v>133</v>
      </c>
      <c r="G73" s="36">
        <v>8</v>
      </c>
      <c r="H73" s="31">
        <v>0.15</v>
      </c>
      <c r="I73" s="32">
        <v>51000</v>
      </c>
    </row>
    <row r="74" spans="1:9" x14ac:dyDescent="0.25">
      <c r="A74" s="36" t="s">
        <v>246</v>
      </c>
      <c r="B74" s="37">
        <v>46023</v>
      </c>
      <c r="C74" s="36" t="s">
        <v>164</v>
      </c>
      <c r="D74" s="36" t="s">
        <v>185</v>
      </c>
      <c r="E74" s="36" t="s">
        <v>96</v>
      </c>
      <c r="F74" s="36" t="s">
        <v>135</v>
      </c>
      <c r="G74" s="36">
        <v>7</v>
      </c>
      <c r="H74" s="31">
        <v>0.15</v>
      </c>
      <c r="I74" s="32">
        <v>44625</v>
      </c>
    </row>
    <row r="75" spans="1:9" x14ac:dyDescent="0.25">
      <c r="A75" s="36" t="s">
        <v>247</v>
      </c>
      <c r="B75" s="37">
        <v>46057</v>
      </c>
      <c r="C75" s="36" t="s">
        <v>170</v>
      </c>
      <c r="D75" s="36" t="s">
        <v>171</v>
      </c>
      <c r="E75" s="36" t="s">
        <v>95</v>
      </c>
      <c r="F75" s="36" t="s">
        <v>132</v>
      </c>
      <c r="G75" s="36">
        <v>8</v>
      </c>
      <c r="H75" s="31">
        <v>0.05</v>
      </c>
      <c r="I75" s="32">
        <v>9120</v>
      </c>
    </row>
    <row r="76" spans="1:9" x14ac:dyDescent="0.25">
      <c r="A76" s="36" t="s">
        <v>248</v>
      </c>
      <c r="B76" s="37">
        <v>46130</v>
      </c>
      <c r="C76" s="36" t="s">
        <v>189</v>
      </c>
      <c r="D76" s="36" t="s">
        <v>190</v>
      </c>
      <c r="E76" s="36" t="s">
        <v>95</v>
      </c>
      <c r="F76" s="36" t="s">
        <v>133</v>
      </c>
      <c r="G76" s="36">
        <v>7</v>
      </c>
      <c r="H76" s="31">
        <v>0.05</v>
      </c>
      <c r="I76" s="32">
        <v>14630</v>
      </c>
    </row>
    <row r="77" spans="1:9" x14ac:dyDescent="0.25">
      <c r="A77" s="36" t="s">
        <v>249</v>
      </c>
      <c r="B77" s="37">
        <v>46033</v>
      </c>
      <c r="C77" s="36" t="s">
        <v>182</v>
      </c>
      <c r="D77" s="36" t="s">
        <v>175</v>
      </c>
      <c r="E77" s="36" t="s">
        <v>97</v>
      </c>
      <c r="F77" s="36" t="s">
        <v>294</v>
      </c>
      <c r="G77" s="36">
        <v>7</v>
      </c>
      <c r="H77" s="31">
        <v>0</v>
      </c>
      <c r="I77" s="32">
        <v>12600</v>
      </c>
    </row>
    <row r="78" spans="1:9" x14ac:dyDescent="0.25">
      <c r="A78" s="36" t="s">
        <v>250</v>
      </c>
      <c r="B78" s="37">
        <v>46064</v>
      </c>
      <c r="C78" s="36" t="s">
        <v>189</v>
      </c>
      <c r="D78" s="36" t="s">
        <v>175</v>
      </c>
      <c r="E78" s="36" t="s">
        <v>96</v>
      </c>
      <c r="F78" s="36" t="s">
        <v>135</v>
      </c>
      <c r="G78" s="36">
        <v>5</v>
      </c>
      <c r="H78" s="31">
        <v>0.15</v>
      </c>
      <c r="I78" s="32">
        <v>9350</v>
      </c>
    </row>
    <row r="79" spans="1:9" x14ac:dyDescent="0.25">
      <c r="A79" s="36" t="s">
        <v>251</v>
      </c>
      <c r="B79" s="37">
        <v>46055</v>
      </c>
      <c r="C79" s="36" t="s">
        <v>164</v>
      </c>
      <c r="D79" s="36" t="s">
        <v>190</v>
      </c>
      <c r="E79" s="36" t="s">
        <v>95</v>
      </c>
      <c r="F79" s="36" t="s">
        <v>134</v>
      </c>
      <c r="G79" s="36">
        <v>5</v>
      </c>
      <c r="H79" s="31">
        <v>0.15</v>
      </c>
      <c r="I79" s="32">
        <v>31875</v>
      </c>
    </row>
    <row r="80" spans="1:9" x14ac:dyDescent="0.25">
      <c r="A80" s="36" t="s">
        <v>252</v>
      </c>
      <c r="B80" s="37">
        <v>46106</v>
      </c>
      <c r="C80" s="36" t="s">
        <v>158</v>
      </c>
      <c r="D80" s="36" t="s">
        <v>190</v>
      </c>
      <c r="E80" s="36" t="s">
        <v>95</v>
      </c>
      <c r="F80" s="36" t="s">
        <v>135</v>
      </c>
      <c r="G80" s="36">
        <v>6</v>
      </c>
      <c r="H80" s="31">
        <v>0.05</v>
      </c>
      <c r="I80" s="32">
        <v>102600</v>
      </c>
    </row>
    <row r="81" spans="1:9" x14ac:dyDescent="0.25">
      <c r="A81" s="36" t="s">
        <v>252</v>
      </c>
      <c r="B81" s="37">
        <v>46106</v>
      </c>
      <c r="C81" s="36" t="s">
        <v>158</v>
      </c>
      <c r="D81" s="36" t="s">
        <v>190</v>
      </c>
      <c r="E81" s="36" t="s">
        <v>95</v>
      </c>
      <c r="F81" s="36" t="s">
        <v>135</v>
      </c>
      <c r="G81" s="36">
        <v>6</v>
      </c>
      <c r="H81" s="31">
        <v>0.05</v>
      </c>
      <c r="I81" s="32">
        <v>102600</v>
      </c>
    </row>
    <row r="82" spans="1:9" x14ac:dyDescent="0.25">
      <c r="A82" s="36" t="s">
        <v>253</v>
      </c>
      <c r="B82" s="37">
        <v>46121</v>
      </c>
      <c r="C82" s="36" t="s">
        <v>177</v>
      </c>
      <c r="D82" s="36" t="s">
        <v>190</v>
      </c>
      <c r="E82" s="36" t="s">
        <v>95</v>
      </c>
      <c r="F82" s="36" t="s">
        <v>132</v>
      </c>
      <c r="G82" s="36">
        <v>8</v>
      </c>
      <c r="H82" s="31">
        <v>0.1</v>
      </c>
      <c r="I82" s="32">
        <v>18000</v>
      </c>
    </row>
    <row r="83" spans="1:9" x14ac:dyDescent="0.25">
      <c r="A83" s="36" t="s">
        <v>254</v>
      </c>
      <c r="B83" s="37">
        <v>46036</v>
      </c>
      <c r="C83" s="36" t="s">
        <v>170</v>
      </c>
      <c r="D83" s="36" t="s">
        <v>175</v>
      </c>
      <c r="E83" s="36" t="s">
        <v>97</v>
      </c>
      <c r="F83" s="36" t="s">
        <v>135</v>
      </c>
      <c r="G83" s="36">
        <v>3</v>
      </c>
      <c r="H83" s="31">
        <v>0.1</v>
      </c>
      <c r="I83" s="32">
        <v>3240</v>
      </c>
    </row>
    <row r="84" spans="1:9" x14ac:dyDescent="0.25">
      <c r="A84" s="36" t="s">
        <v>255</v>
      </c>
      <c r="B84" s="37">
        <v>46032</v>
      </c>
      <c r="C84" s="36" t="s">
        <v>184</v>
      </c>
      <c r="D84" s="36" t="s">
        <v>159</v>
      </c>
      <c r="E84" s="36" t="s">
        <v>97</v>
      </c>
      <c r="F84" s="36" t="s">
        <v>134</v>
      </c>
      <c r="G84" s="36">
        <v>7</v>
      </c>
      <c r="H84" s="31">
        <v>0.05</v>
      </c>
      <c r="I84" s="32">
        <v>14630</v>
      </c>
    </row>
    <row r="85" spans="1:9" x14ac:dyDescent="0.25">
      <c r="A85" s="36" t="s">
        <v>256</v>
      </c>
      <c r="B85" s="37">
        <v>46067</v>
      </c>
      <c r="C85" s="36" t="s">
        <v>184</v>
      </c>
      <c r="D85" s="36" t="s">
        <v>178</v>
      </c>
      <c r="E85" s="36" t="s">
        <v>96</v>
      </c>
      <c r="F85" s="36" t="s">
        <v>133</v>
      </c>
      <c r="G85" s="36">
        <v>2</v>
      </c>
      <c r="H85" s="31">
        <v>0</v>
      </c>
      <c r="I85" s="32">
        <v>4400</v>
      </c>
    </row>
    <row r="86" spans="1:9" x14ac:dyDescent="0.25">
      <c r="A86" s="36" t="s">
        <v>257</v>
      </c>
      <c r="B86" s="37">
        <v>46131</v>
      </c>
      <c r="C86" s="36" t="s">
        <v>161</v>
      </c>
      <c r="D86" s="36" t="s">
        <v>185</v>
      </c>
      <c r="E86" s="36" t="s">
        <v>296</v>
      </c>
      <c r="F86" s="36" t="s">
        <v>135</v>
      </c>
      <c r="G86" s="36">
        <v>6</v>
      </c>
      <c r="H86" s="31">
        <v>0</v>
      </c>
      <c r="I86" s="32">
        <v>21000</v>
      </c>
    </row>
    <row r="87" spans="1:9" x14ac:dyDescent="0.25">
      <c r="A87" s="36" t="s">
        <v>258</v>
      </c>
      <c r="B87" s="37">
        <v>46078</v>
      </c>
      <c r="C87" s="36" t="s">
        <v>189</v>
      </c>
      <c r="D87" s="36" t="s">
        <v>190</v>
      </c>
      <c r="E87" s="36" t="s">
        <v>95</v>
      </c>
      <c r="F87" s="36" t="s">
        <v>133</v>
      </c>
      <c r="G87" s="36">
        <v>8</v>
      </c>
      <c r="H87" s="31">
        <v>0.05</v>
      </c>
      <c r="I87" s="32">
        <v>16720</v>
      </c>
    </row>
    <row r="88" spans="1:9" x14ac:dyDescent="0.25">
      <c r="A88" s="36" t="s">
        <v>259</v>
      </c>
      <c r="B88" s="37">
        <v>46128</v>
      </c>
      <c r="C88" s="36" t="s">
        <v>177</v>
      </c>
      <c r="D88" s="36" t="s">
        <v>171</v>
      </c>
      <c r="E88" s="36" t="s">
        <v>95</v>
      </c>
      <c r="F88" s="36" t="s">
        <v>134</v>
      </c>
      <c r="G88" s="36">
        <v>8</v>
      </c>
      <c r="H88" s="31">
        <v>0.15</v>
      </c>
      <c r="I88" s="32">
        <v>17000</v>
      </c>
    </row>
    <row r="89" spans="1:9" x14ac:dyDescent="0.25">
      <c r="A89" s="36" t="s">
        <v>260</v>
      </c>
      <c r="B89" s="37">
        <v>46135</v>
      </c>
      <c r="C89" s="36" t="s">
        <v>184</v>
      </c>
      <c r="D89" s="36" t="s">
        <v>171</v>
      </c>
      <c r="E89" s="36" t="s">
        <v>95</v>
      </c>
      <c r="F89" s="36" t="s">
        <v>132</v>
      </c>
      <c r="G89" s="36">
        <v>2</v>
      </c>
      <c r="H89" s="31">
        <v>0.1</v>
      </c>
      <c r="I89" s="32">
        <v>3960</v>
      </c>
    </row>
    <row r="90" spans="1:9" x14ac:dyDescent="0.25">
      <c r="A90" s="36" t="s">
        <v>261</v>
      </c>
      <c r="B90" s="37">
        <v>46086</v>
      </c>
      <c r="C90" s="36" t="s">
        <v>182</v>
      </c>
      <c r="D90" s="36" t="s">
        <v>178</v>
      </c>
      <c r="E90" s="36" t="s">
        <v>97</v>
      </c>
      <c r="F90" s="36" t="s">
        <v>134</v>
      </c>
      <c r="G90" s="36">
        <v>6</v>
      </c>
      <c r="H90" s="31">
        <v>0</v>
      </c>
      <c r="I90" s="32">
        <v>10800</v>
      </c>
    </row>
    <row r="91" spans="1:9" x14ac:dyDescent="0.25">
      <c r="A91" s="36" t="s">
        <v>262</v>
      </c>
      <c r="B91" s="37">
        <v>46058</v>
      </c>
      <c r="C91" s="36" t="s">
        <v>170</v>
      </c>
      <c r="D91" s="36" t="s">
        <v>175</v>
      </c>
      <c r="E91" s="36" t="s">
        <v>97</v>
      </c>
      <c r="F91" s="36" t="s">
        <v>133</v>
      </c>
      <c r="G91" s="36">
        <v>5</v>
      </c>
      <c r="H91" s="31">
        <v>0.1</v>
      </c>
      <c r="I91" s="32">
        <v>5400</v>
      </c>
    </row>
    <row r="92" spans="1:9" x14ac:dyDescent="0.25">
      <c r="A92" s="36" t="s">
        <v>263</v>
      </c>
      <c r="B92" s="37">
        <v>46115</v>
      </c>
      <c r="C92" s="36" t="s">
        <v>184</v>
      </c>
      <c r="D92" s="36" t="s">
        <v>171</v>
      </c>
      <c r="E92" s="36" t="s">
        <v>95</v>
      </c>
      <c r="F92" s="36" t="s">
        <v>132</v>
      </c>
      <c r="G92" s="36">
        <v>2</v>
      </c>
      <c r="H92" s="31">
        <v>0.05</v>
      </c>
      <c r="I92" s="32">
        <v>4180</v>
      </c>
    </row>
    <row r="93" spans="1:9" x14ac:dyDescent="0.25">
      <c r="A93" s="36" t="s">
        <v>264</v>
      </c>
      <c r="B93" s="37">
        <v>46080</v>
      </c>
      <c r="C93" s="36" t="s">
        <v>189</v>
      </c>
      <c r="D93" s="36" t="s">
        <v>190</v>
      </c>
      <c r="E93" s="36" t="s">
        <v>298</v>
      </c>
      <c r="F93" s="36" t="s">
        <v>132</v>
      </c>
      <c r="G93" s="36">
        <v>8</v>
      </c>
      <c r="H93" s="31">
        <v>0.15</v>
      </c>
      <c r="I93" s="32">
        <v>14960</v>
      </c>
    </row>
    <row r="94" spans="1:9" x14ac:dyDescent="0.25">
      <c r="A94" s="36" t="s">
        <v>265</v>
      </c>
      <c r="B94" s="37">
        <v>46107</v>
      </c>
      <c r="C94" s="36" t="s">
        <v>187</v>
      </c>
      <c r="D94" s="36" t="s">
        <v>162</v>
      </c>
      <c r="E94" s="36" t="s">
        <v>95</v>
      </c>
      <c r="F94" s="36" t="s">
        <v>134</v>
      </c>
      <c r="G94" s="36">
        <v>4</v>
      </c>
      <c r="H94" s="31">
        <v>0.1</v>
      </c>
      <c r="I94" s="32">
        <v>198000</v>
      </c>
    </row>
    <row r="95" spans="1:9" x14ac:dyDescent="0.25">
      <c r="A95" s="36" t="s">
        <v>266</v>
      </c>
      <c r="B95" s="37">
        <v>46068</v>
      </c>
      <c r="C95" s="36" t="s">
        <v>184</v>
      </c>
      <c r="D95" s="36" t="s">
        <v>168</v>
      </c>
      <c r="E95" s="36" t="s">
        <v>97</v>
      </c>
      <c r="F95" s="36" t="s">
        <v>133</v>
      </c>
      <c r="G95" s="36">
        <v>7</v>
      </c>
      <c r="H95" s="31">
        <v>0.1</v>
      </c>
      <c r="I95" s="32">
        <v>13860</v>
      </c>
    </row>
    <row r="96" spans="1:9" x14ac:dyDescent="0.25">
      <c r="A96" s="36" t="s">
        <v>267</v>
      </c>
      <c r="B96" s="37">
        <v>46063</v>
      </c>
      <c r="C96" s="36" t="s">
        <v>182</v>
      </c>
      <c r="D96" s="36" t="s">
        <v>171</v>
      </c>
      <c r="E96" s="36" t="s">
        <v>95</v>
      </c>
      <c r="F96" s="36" t="s">
        <v>300</v>
      </c>
      <c r="G96" s="36">
        <v>2</v>
      </c>
      <c r="H96" s="31">
        <v>0.05</v>
      </c>
      <c r="I96" s="32">
        <v>3420</v>
      </c>
    </row>
    <row r="97" spans="1:9" x14ac:dyDescent="0.25">
      <c r="A97" s="36" t="s">
        <v>268</v>
      </c>
      <c r="B97" s="37">
        <v>46035</v>
      </c>
      <c r="C97" s="36" t="s">
        <v>158</v>
      </c>
      <c r="D97" s="36" t="s">
        <v>175</v>
      </c>
      <c r="E97" s="36" t="s">
        <v>97</v>
      </c>
      <c r="F97" s="36" t="s">
        <v>134</v>
      </c>
      <c r="G97" s="36">
        <v>5</v>
      </c>
      <c r="H97" s="31">
        <v>0.1</v>
      </c>
      <c r="I97" s="32">
        <v>81000</v>
      </c>
    </row>
    <row r="98" spans="1:9" x14ac:dyDescent="0.25">
      <c r="A98" s="36" t="s">
        <v>269</v>
      </c>
      <c r="B98" s="37">
        <v>46113</v>
      </c>
      <c r="C98" s="36" t="s">
        <v>164</v>
      </c>
      <c r="D98" s="36" t="s">
        <v>171</v>
      </c>
      <c r="E98" s="36" t="s">
        <v>95</v>
      </c>
      <c r="F98" s="36" t="s">
        <v>132</v>
      </c>
      <c r="G98" s="36">
        <v>5</v>
      </c>
      <c r="H98" s="31">
        <v>0</v>
      </c>
      <c r="I98" s="32">
        <v>37500</v>
      </c>
    </row>
    <row r="99" spans="1:9" x14ac:dyDescent="0.25">
      <c r="A99" s="36" t="s">
        <v>270</v>
      </c>
      <c r="B99" s="37">
        <v>46104</v>
      </c>
      <c r="C99" s="36" t="s">
        <v>161</v>
      </c>
      <c r="D99" s="36" t="s">
        <v>175</v>
      </c>
      <c r="E99" s="36" t="s">
        <v>97</v>
      </c>
      <c r="F99" s="36" t="s">
        <v>135</v>
      </c>
      <c r="G99" s="36">
        <v>5</v>
      </c>
      <c r="H99" s="31">
        <v>0.05</v>
      </c>
      <c r="I99" s="32">
        <v>16625</v>
      </c>
    </row>
    <row r="100" spans="1:9" x14ac:dyDescent="0.25">
      <c r="A100" s="36" t="s">
        <v>271</v>
      </c>
      <c r="B100" s="37">
        <v>46079</v>
      </c>
      <c r="C100" s="36" t="s">
        <v>182</v>
      </c>
      <c r="D100" s="36" t="s">
        <v>162</v>
      </c>
      <c r="E100" s="36" t="s">
        <v>97</v>
      </c>
      <c r="F100" s="36" t="s">
        <v>133</v>
      </c>
      <c r="G100" s="36">
        <v>8</v>
      </c>
      <c r="H100" s="31">
        <v>0.15</v>
      </c>
      <c r="I100" s="32">
        <v>12240</v>
      </c>
    </row>
    <row r="101" spans="1:9" x14ac:dyDescent="0.25">
      <c r="A101" s="36" t="s">
        <v>272</v>
      </c>
      <c r="B101" s="37">
        <v>46074</v>
      </c>
      <c r="C101" s="36" t="s">
        <v>170</v>
      </c>
      <c r="D101" s="36" t="s">
        <v>175</v>
      </c>
      <c r="E101" s="36" t="s">
        <v>95</v>
      </c>
      <c r="F101" s="36" t="s">
        <v>134</v>
      </c>
      <c r="G101" s="36">
        <v>2</v>
      </c>
      <c r="H101" s="31">
        <v>0</v>
      </c>
      <c r="I101" s="32">
        <v>2400</v>
      </c>
    </row>
    <row r="102" spans="1:9" x14ac:dyDescent="0.25">
      <c r="A102" s="36" t="s">
        <v>273</v>
      </c>
      <c r="B102" s="37">
        <v>46126</v>
      </c>
      <c r="C102" s="36" t="s">
        <v>182</v>
      </c>
      <c r="D102" s="36" t="s">
        <v>162</v>
      </c>
      <c r="E102" s="36" t="s">
        <v>95</v>
      </c>
      <c r="F102" s="36" t="s">
        <v>135</v>
      </c>
      <c r="G102" s="36">
        <v>3</v>
      </c>
      <c r="H102" s="31">
        <v>0.05</v>
      </c>
      <c r="I102" s="32">
        <v>5130</v>
      </c>
    </row>
    <row r="103" spans="1:9" x14ac:dyDescent="0.25">
      <c r="A103" s="36" t="s">
        <v>274</v>
      </c>
      <c r="B103" s="37">
        <v>46100</v>
      </c>
      <c r="C103" s="36" t="s">
        <v>184</v>
      </c>
      <c r="D103" s="36" t="s">
        <v>171</v>
      </c>
      <c r="E103" s="36" t="s">
        <v>293</v>
      </c>
      <c r="F103" s="36" t="s">
        <v>132</v>
      </c>
      <c r="G103" s="36">
        <v>2</v>
      </c>
      <c r="H103" s="31">
        <v>0.15</v>
      </c>
      <c r="I103" s="32">
        <v>3740</v>
      </c>
    </row>
    <row r="104" spans="1:9" x14ac:dyDescent="0.25">
      <c r="A104" s="36" t="s">
        <v>275</v>
      </c>
      <c r="B104" s="37">
        <v>46133</v>
      </c>
      <c r="C104" s="36" t="s">
        <v>184</v>
      </c>
      <c r="D104" s="36" t="s">
        <v>178</v>
      </c>
      <c r="E104" s="36" t="s">
        <v>95</v>
      </c>
      <c r="F104" s="36" t="s">
        <v>134</v>
      </c>
      <c r="G104" s="36">
        <v>8</v>
      </c>
      <c r="H104" s="31">
        <v>0.1</v>
      </c>
      <c r="I104" s="32">
        <v>15840</v>
      </c>
    </row>
    <row r="105" spans="1:9" x14ac:dyDescent="0.25">
      <c r="A105" s="36" t="s">
        <v>276</v>
      </c>
      <c r="B105" s="37">
        <v>46103</v>
      </c>
      <c r="C105" s="36" t="s">
        <v>184</v>
      </c>
      <c r="D105" s="36" t="s">
        <v>185</v>
      </c>
      <c r="E105" s="36" t="s">
        <v>96</v>
      </c>
      <c r="F105" s="36" t="s">
        <v>135</v>
      </c>
      <c r="G105" s="36">
        <v>2</v>
      </c>
      <c r="H105" s="31">
        <v>0.05</v>
      </c>
      <c r="I105" s="32">
        <v>4180</v>
      </c>
    </row>
    <row r="106" spans="1:9" x14ac:dyDescent="0.25">
      <c r="A106" s="36" t="s">
        <v>277</v>
      </c>
      <c r="B106" s="37">
        <v>46093</v>
      </c>
      <c r="C106" s="36" t="s">
        <v>164</v>
      </c>
      <c r="D106" s="36" t="s">
        <v>171</v>
      </c>
      <c r="E106" s="36" t="s">
        <v>95</v>
      </c>
      <c r="F106" s="36" t="s">
        <v>132</v>
      </c>
      <c r="G106" s="36">
        <v>4</v>
      </c>
      <c r="H106" s="31">
        <v>0.05</v>
      </c>
      <c r="I106" s="32">
        <v>28500</v>
      </c>
    </row>
    <row r="107" spans="1:9" x14ac:dyDescent="0.25">
      <c r="A107" s="36" t="s">
        <v>278</v>
      </c>
      <c r="B107" s="37">
        <v>46027</v>
      </c>
      <c r="C107" s="36" t="s">
        <v>158</v>
      </c>
      <c r="D107" s="36" t="s">
        <v>175</v>
      </c>
      <c r="E107" s="36" t="s">
        <v>97</v>
      </c>
      <c r="F107" s="36" t="s">
        <v>134</v>
      </c>
      <c r="G107" s="36">
        <v>8</v>
      </c>
      <c r="H107" s="31">
        <v>0.1</v>
      </c>
      <c r="I107" s="32">
        <v>129600</v>
      </c>
    </row>
    <row r="108" spans="1:9" x14ac:dyDescent="0.25">
      <c r="A108" s="36" t="s">
        <v>279</v>
      </c>
      <c r="B108" s="37">
        <v>46141</v>
      </c>
      <c r="C108" s="36" t="s">
        <v>164</v>
      </c>
      <c r="D108" s="36" t="s">
        <v>171</v>
      </c>
      <c r="E108" s="36" t="s">
        <v>95</v>
      </c>
      <c r="F108" s="36" t="s">
        <v>134</v>
      </c>
      <c r="G108" s="36">
        <v>2</v>
      </c>
      <c r="H108" s="31">
        <v>0.05</v>
      </c>
      <c r="I108" s="32">
        <v>14250</v>
      </c>
    </row>
    <row r="109" spans="1:9" x14ac:dyDescent="0.25">
      <c r="A109" s="36" t="s">
        <v>280</v>
      </c>
      <c r="B109" s="37">
        <v>46128</v>
      </c>
      <c r="C109" s="36" t="s">
        <v>166</v>
      </c>
      <c r="D109" s="36" t="s">
        <v>178</v>
      </c>
      <c r="E109" s="36" t="s">
        <v>96</v>
      </c>
      <c r="F109" s="36" t="s">
        <v>132</v>
      </c>
      <c r="G109" s="36">
        <v>3</v>
      </c>
      <c r="H109" s="31">
        <v>0.1</v>
      </c>
      <c r="I109" s="32">
        <v>32400</v>
      </c>
    </row>
    <row r="110" spans="1:9" x14ac:dyDescent="0.25">
      <c r="A110" s="36" t="s">
        <v>281</v>
      </c>
      <c r="B110" s="37">
        <v>46038</v>
      </c>
      <c r="C110" s="36" t="s">
        <v>177</v>
      </c>
      <c r="D110" s="36" t="s">
        <v>162</v>
      </c>
      <c r="E110" s="36" t="s">
        <v>95</v>
      </c>
      <c r="F110" s="36" t="s">
        <v>133</v>
      </c>
      <c r="G110" s="36">
        <v>5</v>
      </c>
      <c r="H110" s="31">
        <v>0.15</v>
      </c>
      <c r="I110" s="32">
        <v>10625</v>
      </c>
    </row>
    <row r="111" spans="1:9" x14ac:dyDescent="0.25">
      <c r="A111" s="36" t="s">
        <v>282</v>
      </c>
      <c r="B111" s="37">
        <v>46033</v>
      </c>
      <c r="C111" s="36" t="s">
        <v>182</v>
      </c>
      <c r="D111" s="36" t="s">
        <v>171</v>
      </c>
      <c r="E111" s="36" t="s">
        <v>95</v>
      </c>
      <c r="F111" s="36" t="s">
        <v>133</v>
      </c>
      <c r="G111" s="36">
        <v>8</v>
      </c>
      <c r="H111" s="31">
        <v>0.15</v>
      </c>
      <c r="I111" s="32">
        <v>12240</v>
      </c>
    </row>
    <row r="112" spans="1:9" x14ac:dyDescent="0.25">
      <c r="A112" s="36" t="s">
        <v>282</v>
      </c>
      <c r="B112" s="37">
        <v>46033</v>
      </c>
      <c r="C112" s="36" t="s">
        <v>182</v>
      </c>
      <c r="D112" s="36" t="s">
        <v>171</v>
      </c>
      <c r="E112" s="36" t="s">
        <v>95</v>
      </c>
      <c r="F112" s="36" t="s">
        <v>133</v>
      </c>
      <c r="G112" s="36">
        <v>8</v>
      </c>
      <c r="H112" s="31">
        <v>0.15</v>
      </c>
      <c r="I112" s="32">
        <v>12240</v>
      </c>
    </row>
    <row r="113" spans="1:9" x14ac:dyDescent="0.25">
      <c r="A113" s="36" t="s">
        <v>283</v>
      </c>
      <c r="B113" s="37">
        <v>46083</v>
      </c>
      <c r="C113" s="36" t="s">
        <v>164</v>
      </c>
      <c r="D113" s="36" t="s">
        <v>159</v>
      </c>
      <c r="E113" s="36" t="s">
        <v>97</v>
      </c>
      <c r="F113" s="36" t="s">
        <v>133</v>
      </c>
      <c r="G113" s="36">
        <v>1</v>
      </c>
      <c r="H113" s="31">
        <v>0.05</v>
      </c>
      <c r="I113" s="32">
        <v>7125</v>
      </c>
    </row>
    <row r="114" spans="1:9" x14ac:dyDescent="0.25">
      <c r="A114" s="36" t="s">
        <v>284</v>
      </c>
      <c r="B114" s="37">
        <v>46083</v>
      </c>
      <c r="C114" s="36" t="s">
        <v>161</v>
      </c>
      <c r="D114" s="36" t="s">
        <v>190</v>
      </c>
      <c r="E114" s="36" t="s">
        <v>96</v>
      </c>
      <c r="F114" s="36" t="s">
        <v>134</v>
      </c>
      <c r="G114" s="36">
        <v>8</v>
      </c>
      <c r="H114" s="31">
        <v>0</v>
      </c>
      <c r="I114" s="32">
        <v>28000</v>
      </c>
    </row>
    <row r="115" spans="1:9" x14ac:dyDescent="0.25">
      <c r="A115" s="36" t="s">
        <v>285</v>
      </c>
      <c r="B115" s="37">
        <v>46075</v>
      </c>
      <c r="C115" s="36" t="s">
        <v>170</v>
      </c>
      <c r="D115" s="36" t="s">
        <v>185</v>
      </c>
      <c r="E115" s="36" t="s">
        <v>96</v>
      </c>
      <c r="F115" s="36" t="s">
        <v>294</v>
      </c>
      <c r="G115" s="36">
        <v>3</v>
      </c>
      <c r="H115" s="31">
        <v>0.1</v>
      </c>
      <c r="I115" s="32">
        <v>3240</v>
      </c>
    </row>
    <row r="116" spans="1:9" x14ac:dyDescent="0.25">
      <c r="A116" s="36" t="s">
        <v>286</v>
      </c>
      <c r="B116" s="37">
        <v>46034</v>
      </c>
      <c r="C116" s="36" t="s">
        <v>182</v>
      </c>
      <c r="D116" s="36" t="s">
        <v>171</v>
      </c>
      <c r="E116" s="36" t="s">
        <v>298</v>
      </c>
      <c r="F116" s="36" t="s">
        <v>134</v>
      </c>
      <c r="G116" s="36">
        <v>1</v>
      </c>
      <c r="H116" s="31">
        <v>0.15</v>
      </c>
      <c r="I116" s="32">
        <v>1530</v>
      </c>
    </row>
    <row r="117" spans="1:9" x14ac:dyDescent="0.25">
      <c r="A117" s="36" t="s">
        <v>287</v>
      </c>
      <c r="B117" s="37">
        <v>46075</v>
      </c>
      <c r="C117" s="36" t="s">
        <v>170</v>
      </c>
      <c r="D117" s="36" t="s">
        <v>171</v>
      </c>
      <c r="E117" s="36" t="s">
        <v>95</v>
      </c>
      <c r="F117" s="36" t="s">
        <v>134</v>
      </c>
      <c r="G117" s="36">
        <v>1</v>
      </c>
      <c r="H117" s="31">
        <v>0.15</v>
      </c>
      <c r="I117" s="32">
        <v>1020</v>
      </c>
    </row>
    <row r="118" spans="1:9" x14ac:dyDescent="0.25">
      <c r="A118" s="36" t="s">
        <v>288</v>
      </c>
      <c r="B118" s="37">
        <v>46049</v>
      </c>
      <c r="C118" s="36" t="s">
        <v>187</v>
      </c>
      <c r="D118" s="36" t="s">
        <v>178</v>
      </c>
      <c r="E118" s="36" t="s">
        <v>96</v>
      </c>
      <c r="F118" s="36" t="s">
        <v>134</v>
      </c>
      <c r="G118" s="36">
        <v>8</v>
      </c>
      <c r="H118" s="31">
        <v>0</v>
      </c>
      <c r="I118" s="32">
        <v>440000</v>
      </c>
    </row>
    <row r="119" spans="1:9" x14ac:dyDescent="0.25">
      <c r="A119" s="36" t="s">
        <v>289</v>
      </c>
      <c r="B119" s="37">
        <v>46103</v>
      </c>
      <c r="C119" s="36" t="s">
        <v>166</v>
      </c>
      <c r="D119" s="36" t="s">
        <v>175</v>
      </c>
      <c r="E119" s="36" t="s">
        <v>95</v>
      </c>
      <c r="F119" s="36" t="s">
        <v>134</v>
      </c>
      <c r="G119" s="36">
        <v>2</v>
      </c>
      <c r="H119" s="31">
        <v>0</v>
      </c>
      <c r="I119" s="32">
        <v>24000</v>
      </c>
    </row>
    <row r="120" spans="1:9" x14ac:dyDescent="0.25">
      <c r="A120" s="36" t="s">
        <v>290</v>
      </c>
      <c r="B120" s="37">
        <v>46034</v>
      </c>
      <c r="C120" s="36" t="s">
        <v>184</v>
      </c>
      <c r="D120" s="36" t="s">
        <v>178</v>
      </c>
      <c r="E120" s="36" t="s">
        <v>296</v>
      </c>
      <c r="F120" s="36" t="s">
        <v>133</v>
      </c>
      <c r="G120" s="36">
        <v>1</v>
      </c>
      <c r="H120" s="31">
        <v>0.15</v>
      </c>
      <c r="I120" s="32">
        <v>1870</v>
      </c>
    </row>
    <row r="121" spans="1:9" x14ac:dyDescent="0.25">
      <c r="A121" s="36" t="s">
        <v>291</v>
      </c>
      <c r="B121" s="37">
        <v>46142</v>
      </c>
      <c r="C121" s="36" t="s">
        <v>164</v>
      </c>
      <c r="D121" s="36" t="s">
        <v>162</v>
      </c>
      <c r="E121" s="36" t="s">
        <v>95</v>
      </c>
      <c r="F121" s="36" t="s">
        <v>135</v>
      </c>
      <c r="G121" s="36">
        <v>3</v>
      </c>
      <c r="H121" s="31">
        <v>0.15</v>
      </c>
      <c r="I121" s="32">
        <v>19125</v>
      </c>
    </row>
  </sheetData>
  <autoFilter ref="A1:I12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Y118"/>
  <sheetViews>
    <sheetView tabSelected="1" zoomScaleNormal="10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J13" sqref="J13"/>
    </sheetView>
  </sheetViews>
  <sheetFormatPr defaultColWidth="8.7109375" defaultRowHeight="15" x14ac:dyDescent="0.25"/>
  <cols>
    <col min="1" max="1" width="13.5703125" bestFit="1" customWidth="1"/>
    <col min="2" max="2" width="13" customWidth="1"/>
    <col min="3" max="3" width="11" customWidth="1"/>
    <col min="4" max="4" width="12" customWidth="1"/>
    <col min="5" max="5" width="11" customWidth="1"/>
    <col min="6" max="6" width="15" customWidth="1"/>
    <col min="7" max="8" width="10" customWidth="1"/>
    <col min="9" max="9" width="14" customWidth="1"/>
    <col min="10" max="10" width="15" customWidth="1"/>
    <col min="11" max="11" width="13" customWidth="1"/>
    <col min="12" max="12" width="11" customWidth="1"/>
    <col min="13" max="13" width="15" customWidth="1"/>
    <col min="14" max="14" width="17" customWidth="1"/>
    <col min="15" max="15" width="13" customWidth="1"/>
    <col min="16" max="16" width="14" customWidth="1"/>
    <col min="17" max="17" width="13" customWidth="1"/>
    <col min="18" max="19" width="12" customWidth="1"/>
    <col min="20" max="20" width="13" customWidth="1"/>
    <col min="21" max="22" width="12" customWidth="1"/>
    <col min="23" max="23" width="13" customWidth="1"/>
  </cols>
  <sheetData>
    <row r="1" spans="1:25" ht="31.5" customHeight="1" x14ac:dyDescent="0.25">
      <c r="A1" s="50" t="s">
        <v>430</v>
      </c>
      <c r="B1" s="27" t="s">
        <v>139</v>
      </c>
      <c r="C1" s="27" t="s">
        <v>140</v>
      </c>
      <c r="D1" s="27" t="s">
        <v>141</v>
      </c>
      <c r="E1" s="27" t="s">
        <v>90</v>
      </c>
      <c r="F1" s="27" t="s">
        <v>142</v>
      </c>
      <c r="G1" s="27" t="s">
        <v>92</v>
      </c>
      <c r="H1" s="27" t="s">
        <v>143</v>
      </c>
      <c r="I1" s="27" t="s">
        <v>144</v>
      </c>
      <c r="J1" s="27" t="s">
        <v>145</v>
      </c>
      <c r="K1" s="27" t="s">
        <v>0</v>
      </c>
      <c r="L1" s="27" t="s">
        <v>146</v>
      </c>
      <c r="M1" s="27" t="s">
        <v>147</v>
      </c>
      <c r="N1" s="27" t="s">
        <v>148</v>
      </c>
      <c r="O1" s="27" t="s">
        <v>149</v>
      </c>
      <c r="P1" s="27" t="s">
        <v>150</v>
      </c>
      <c r="Q1" s="27" t="s">
        <v>151</v>
      </c>
      <c r="R1" s="27" t="s">
        <v>152</v>
      </c>
      <c r="S1" s="27" t="s">
        <v>2</v>
      </c>
      <c r="T1" s="27" t="s">
        <v>153</v>
      </c>
      <c r="U1" s="27" t="s">
        <v>127</v>
      </c>
      <c r="V1" s="27" t="s">
        <v>154</v>
      </c>
      <c r="W1" s="27" t="s">
        <v>155</v>
      </c>
      <c r="Y1" s="15" t="s">
        <v>156</v>
      </c>
    </row>
    <row r="2" spans="1:25" x14ac:dyDescent="0.25">
      <c r="A2" s="28" t="s">
        <v>157</v>
      </c>
      <c r="B2" s="29">
        <v>46109</v>
      </c>
      <c r="C2" s="28" t="s">
        <v>158</v>
      </c>
      <c r="D2" s="28" t="s">
        <v>159</v>
      </c>
      <c r="E2" s="28" t="s">
        <v>96</v>
      </c>
      <c r="F2" s="28" t="s">
        <v>132</v>
      </c>
      <c r="G2" s="30">
        <v>3</v>
      </c>
      <c r="H2" s="31">
        <v>0</v>
      </c>
      <c r="I2" s="32">
        <v>54000</v>
      </c>
      <c r="J2" s="28" t="str">
        <f>INDEX(Product_Master!$B$2:$B$11,MATCH(C2,Product_Master!$A$2:$A$11,0))</f>
        <v>Monitor</v>
      </c>
      <c r="K2" s="28" t="str">
        <f>INDEX(Product_Master!$C$2:$C$11,MATCH(C2,Product_Master!$A$2:$A$11,0))</f>
        <v>Electronics</v>
      </c>
      <c r="L2" s="32">
        <f>INDEX(Product_Master!$D$2:$D$11,MATCH(C2,Product_Master!$A$2:$A$11,0))</f>
        <v>18000</v>
      </c>
      <c r="M2" s="28" t="str">
        <f>INDEX(Employee_Master!$B$2:$B$9,MATCH(D2,Employee_Master!$A$2:$A$9,0))</f>
        <v>Rahul</v>
      </c>
      <c r="N2" s="28" t="str">
        <f>INDEX(Employee_Master!$C$2:$C$9,MATCH(D2,Employee_Master!$A$2:$A$9,0))</f>
        <v>Lucknow</v>
      </c>
      <c r="O2" s="32">
        <f t="shared" ref="O2:O33" si="0">G2*L2</f>
        <v>54000</v>
      </c>
      <c r="P2" s="32">
        <f t="shared" ref="P2:P33" si="1">O2*H2</f>
        <v>0</v>
      </c>
      <c r="Q2" s="32">
        <f t="shared" ref="Q2:Q33" si="2">O2-P2</f>
        <v>54000</v>
      </c>
      <c r="R2" s="32">
        <f>O2*INDEX(Assumptions!$B$5:$B$8,MATCH(K2,Assumptions!$A$5:$A$8,0))</f>
        <v>40500</v>
      </c>
      <c r="S2" s="32">
        <f t="shared" ref="S2:S33" si="3">Q2-R2</f>
        <v>13500</v>
      </c>
      <c r="T2" s="33">
        <f t="shared" ref="T2:T33" si="4">IF(Q2=0,0,S2/Q2)</f>
        <v>0.25</v>
      </c>
      <c r="U2" s="34">
        <f t="shared" ref="U2:U33" si="5">DATE(YEAR(B2),MONTH(B2),1)</f>
        <v>46082</v>
      </c>
      <c r="V2" s="32">
        <f t="shared" ref="V2:V33" si="6">Q2-I2</f>
        <v>0</v>
      </c>
      <c r="W2" s="28" t="str">
        <f t="shared" ref="W2:W33" si="7">IF(E2=N2,"Same","Different")</f>
        <v>Same</v>
      </c>
    </row>
    <row r="3" spans="1:25" x14ac:dyDescent="0.25">
      <c r="A3" s="28" t="s">
        <v>160</v>
      </c>
      <c r="B3" s="29">
        <v>46050</v>
      </c>
      <c r="C3" s="28" t="s">
        <v>161</v>
      </c>
      <c r="D3" s="28" t="s">
        <v>162</v>
      </c>
      <c r="E3" s="28" t="s">
        <v>95</v>
      </c>
      <c r="F3" s="28" t="s">
        <v>135</v>
      </c>
      <c r="G3" s="30">
        <v>1</v>
      </c>
      <c r="H3" s="31">
        <v>0</v>
      </c>
      <c r="I3" s="32">
        <v>3500</v>
      </c>
      <c r="J3" s="28" t="str">
        <f>INDEX(Product_Master!$B$2:$B$11,MATCH(C3,Product_Master!$A$2:$A$11,0))</f>
        <v>Headphones</v>
      </c>
      <c r="K3" s="28" t="str">
        <f>INDEX(Product_Master!$C$2:$C$11,MATCH(C3,Product_Master!$A$2:$A$11,0))</f>
        <v>Electronics</v>
      </c>
      <c r="L3" s="32">
        <f>INDEX(Product_Master!$D$2:$D$11,MATCH(C3,Product_Master!$A$2:$A$11,0))</f>
        <v>3500</v>
      </c>
      <c r="M3" s="28" t="str">
        <f>INDEX(Employee_Master!$B$2:$B$9,MATCH(D3,Employee_Master!$A$2:$A$9,0))</f>
        <v>Priya</v>
      </c>
      <c r="N3" s="28" t="str">
        <f>INDEX(Employee_Master!$C$2:$C$9,MATCH(D3,Employee_Master!$A$2:$A$9,0))</f>
        <v>Delhi</v>
      </c>
      <c r="O3" s="32">
        <f t="shared" si="0"/>
        <v>3500</v>
      </c>
      <c r="P3" s="32">
        <f t="shared" si="1"/>
        <v>0</v>
      </c>
      <c r="Q3" s="32">
        <f t="shared" si="2"/>
        <v>3500</v>
      </c>
      <c r="R3" s="32">
        <f>O3*INDEX(Assumptions!$B$5:$B$8,MATCH(K3,Assumptions!$A$5:$A$8,0))</f>
        <v>2625</v>
      </c>
      <c r="S3" s="32">
        <f t="shared" si="3"/>
        <v>875</v>
      </c>
      <c r="T3" s="33">
        <f t="shared" si="4"/>
        <v>0.25</v>
      </c>
      <c r="U3" s="34">
        <f t="shared" si="5"/>
        <v>46023</v>
      </c>
      <c r="V3" s="32">
        <f t="shared" si="6"/>
        <v>0</v>
      </c>
      <c r="W3" s="28" t="str">
        <f t="shared" si="7"/>
        <v>Same</v>
      </c>
    </row>
    <row r="4" spans="1:25" x14ac:dyDescent="0.25">
      <c r="A4" s="28" t="s">
        <v>163</v>
      </c>
      <c r="B4" s="29">
        <v>46098</v>
      </c>
      <c r="C4" s="28" t="s">
        <v>164</v>
      </c>
      <c r="D4" s="28" t="s">
        <v>159</v>
      </c>
      <c r="E4" s="28" t="s">
        <v>96</v>
      </c>
      <c r="F4" s="28" t="s">
        <v>134</v>
      </c>
      <c r="G4" s="30">
        <v>4</v>
      </c>
      <c r="H4" s="31">
        <v>0.15</v>
      </c>
      <c r="I4" s="32">
        <v>25500</v>
      </c>
      <c r="J4" s="28" t="str">
        <f>INDEX(Product_Master!$B$2:$B$11,MATCH(C4,Product_Master!$A$2:$A$11,0))</f>
        <v>Office Chair</v>
      </c>
      <c r="K4" s="28" t="str">
        <f>INDEX(Product_Master!$C$2:$C$11,MATCH(C4,Product_Master!$A$2:$A$11,0))</f>
        <v>Furniture</v>
      </c>
      <c r="L4" s="32">
        <f>INDEX(Product_Master!$D$2:$D$11,MATCH(C4,Product_Master!$A$2:$A$11,0))</f>
        <v>7500</v>
      </c>
      <c r="M4" s="28" t="str">
        <f>INDEX(Employee_Master!$B$2:$B$9,MATCH(D4,Employee_Master!$A$2:$A$9,0))</f>
        <v>Rahul</v>
      </c>
      <c r="N4" s="28" t="str">
        <f>INDEX(Employee_Master!$C$2:$C$9,MATCH(D4,Employee_Master!$A$2:$A$9,0))</f>
        <v>Lucknow</v>
      </c>
      <c r="O4" s="32">
        <f t="shared" si="0"/>
        <v>30000</v>
      </c>
      <c r="P4" s="32">
        <f t="shared" si="1"/>
        <v>4500</v>
      </c>
      <c r="Q4" s="32">
        <f t="shared" si="2"/>
        <v>25500</v>
      </c>
      <c r="R4" s="32">
        <f>O4*INDEX(Assumptions!$B$5:$B$8,MATCH(K4,Assumptions!$A$5:$A$8,0))</f>
        <v>19500</v>
      </c>
      <c r="S4" s="32">
        <f t="shared" si="3"/>
        <v>6000</v>
      </c>
      <c r="T4" s="33">
        <f t="shared" si="4"/>
        <v>0.23529411764705882</v>
      </c>
      <c r="U4" s="34">
        <f t="shared" si="5"/>
        <v>46082</v>
      </c>
      <c r="V4" s="32">
        <f t="shared" si="6"/>
        <v>0</v>
      </c>
      <c r="W4" s="28" t="str">
        <f t="shared" si="7"/>
        <v>Same</v>
      </c>
    </row>
    <row r="5" spans="1:25" x14ac:dyDescent="0.25">
      <c r="A5" s="28" t="s">
        <v>165</v>
      </c>
      <c r="B5" s="29">
        <v>46042</v>
      </c>
      <c r="C5" s="28" t="s">
        <v>166</v>
      </c>
      <c r="D5" s="28" t="s">
        <v>159</v>
      </c>
      <c r="E5" s="28" t="s">
        <v>96</v>
      </c>
      <c r="F5" s="28" t="s">
        <v>134</v>
      </c>
      <c r="G5" s="30">
        <v>6</v>
      </c>
      <c r="H5" s="31">
        <v>0.1</v>
      </c>
      <c r="I5" s="32">
        <v>64800</v>
      </c>
      <c r="J5" s="28" t="str">
        <f>INDEX(Product_Master!$B$2:$B$11,MATCH(C5,Product_Master!$A$2:$A$11,0))</f>
        <v>Desk</v>
      </c>
      <c r="K5" s="28" t="str">
        <f>INDEX(Product_Master!$C$2:$C$11,MATCH(C5,Product_Master!$A$2:$A$11,0))</f>
        <v>Furniture</v>
      </c>
      <c r="L5" s="32">
        <f>INDEX(Product_Master!$D$2:$D$11,MATCH(C5,Product_Master!$A$2:$A$11,0))</f>
        <v>12000</v>
      </c>
      <c r="M5" s="28" t="str">
        <f>INDEX(Employee_Master!$B$2:$B$9,MATCH(D5,Employee_Master!$A$2:$A$9,0))</f>
        <v>Rahul</v>
      </c>
      <c r="N5" s="28" t="str">
        <f>INDEX(Employee_Master!$C$2:$C$9,MATCH(D5,Employee_Master!$A$2:$A$9,0))</f>
        <v>Lucknow</v>
      </c>
      <c r="O5" s="32">
        <f t="shared" si="0"/>
        <v>72000</v>
      </c>
      <c r="P5" s="32">
        <f t="shared" si="1"/>
        <v>7200</v>
      </c>
      <c r="Q5" s="32">
        <f t="shared" si="2"/>
        <v>64800</v>
      </c>
      <c r="R5" s="32">
        <f>O5*INDEX(Assumptions!$B$5:$B$8,MATCH(K5,Assumptions!$A$5:$A$8,0))</f>
        <v>46800</v>
      </c>
      <c r="S5" s="32">
        <f t="shared" si="3"/>
        <v>18000</v>
      </c>
      <c r="T5" s="33">
        <f t="shared" si="4"/>
        <v>0.27777777777777779</v>
      </c>
      <c r="U5" s="34">
        <f t="shared" si="5"/>
        <v>46023</v>
      </c>
      <c r="V5" s="32">
        <f t="shared" si="6"/>
        <v>0</v>
      </c>
      <c r="W5" s="28" t="str">
        <f t="shared" si="7"/>
        <v>Same</v>
      </c>
    </row>
    <row r="6" spans="1:25" x14ac:dyDescent="0.25">
      <c r="A6" s="28" t="s">
        <v>167</v>
      </c>
      <c r="B6" s="29">
        <v>46131</v>
      </c>
      <c r="C6" s="28" t="s">
        <v>164</v>
      </c>
      <c r="D6" s="28" t="s">
        <v>168</v>
      </c>
      <c r="E6" s="28" t="s">
        <v>97</v>
      </c>
      <c r="F6" s="28" t="s">
        <v>134</v>
      </c>
      <c r="G6" s="30">
        <v>2</v>
      </c>
      <c r="H6" s="31">
        <v>0.1</v>
      </c>
      <c r="I6" s="32">
        <v>13500</v>
      </c>
      <c r="J6" s="28" t="str">
        <f>INDEX(Product_Master!$B$2:$B$11,MATCH(C6,Product_Master!$A$2:$A$11,0))</f>
        <v>Office Chair</v>
      </c>
      <c r="K6" s="28" t="str">
        <f>INDEX(Product_Master!$C$2:$C$11,MATCH(C6,Product_Master!$A$2:$A$11,0))</f>
        <v>Furniture</v>
      </c>
      <c r="L6" s="32">
        <f>INDEX(Product_Master!$D$2:$D$11,MATCH(C6,Product_Master!$A$2:$A$11,0))</f>
        <v>7500</v>
      </c>
      <c r="M6" s="28" t="str">
        <f>INDEX(Employee_Master!$B$2:$B$9,MATCH(D6,Employee_Master!$A$2:$A$9,0))</f>
        <v>Ayesha</v>
      </c>
      <c r="N6" s="28" t="str">
        <f>INDEX(Employee_Master!$C$2:$C$9,MATCH(D6,Employee_Master!$A$2:$A$9,0))</f>
        <v>Mumbai</v>
      </c>
      <c r="O6" s="32">
        <f t="shared" si="0"/>
        <v>15000</v>
      </c>
      <c r="P6" s="32">
        <f t="shared" si="1"/>
        <v>1500</v>
      </c>
      <c r="Q6" s="32">
        <f t="shared" si="2"/>
        <v>13500</v>
      </c>
      <c r="R6" s="32">
        <f>O6*INDEX(Assumptions!$B$5:$B$8,MATCH(K6,Assumptions!$A$5:$A$8,0))</f>
        <v>9750</v>
      </c>
      <c r="S6" s="32">
        <f t="shared" si="3"/>
        <v>3750</v>
      </c>
      <c r="T6" s="33">
        <f t="shared" si="4"/>
        <v>0.27777777777777779</v>
      </c>
      <c r="U6" s="34">
        <f t="shared" si="5"/>
        <v>46113</v>
      </c>
      <c r="V6" s="32">
        <f t="shared" si="6"/>
        <v>0</v>
      </c>
      <c r="W6" s="28" t="str">
        <f t="shared" si="7"/>
        <v>Same</v>
      </c>
    </row>
    <row r="7" spans="1:25" x14ac:dyDescent="0.25">
      <c r="A7" s="28" t="s">
        <v>169</v>
      </c>
      <c r="B7" s="29">
        <v>46033</v>
      </c>
      <c r="C7" s="28" t="s">
        <v>170</v>
      </c>
      <c r="D7" s="28" t="s">
        <v>171</v>
      </c>
      <c r="E7" s="28" t="s">
        <v>97</v>
      </c>
      <c r="F7" s="28" t="s">
        <v>134</v>
      </c>
      <c r="G7" s="30">
        <v>2</v>
      </c>
      <c r="H7" s="31">
        <v>0.15</v>
      </c>
      <c r="I7" s="32">
        <v>2040</v>
      </c>
      <c r="J7" s="28" t="str">
        <f>INDEX(Product_Master!$B$2:$B$11,MATCH(C7,Product_Master!$A$2:$A$11,0))</f>
        <v>T-Shirt</v>
      </c>
      <c r="K7" s="28" t="str">
        <f>INDEX(Product_Master!$C$2:$C$11,MATCH(C7,Product_Master!$A$2:$A$11,0))</f>
        <v>Clothing</v>
      </c>
      <c r="L7" s="32">
        <f>INDEX(Product_Master!$D$2:$D$11,MATCH(C7,Product_Master!$A$2:$A$11,0))</f>
        <v>1200</v>
      </c>
      <c r="M7" s="28" t="str">
        <f>INDEX(Employee_Master!$B$2:$B$9,MATCH(D7,Employee_Master!$A$2:$A$9,0))</f>
        <v>Hamza</v>
      </c>
      <c r="N7" s="28" t="str">
        <f>INDEX(Employee_Master!$C$2:$C$9,MATCH(D7,Employee_Master!$A$2:$A$9,0))</f>
        <v>Delhi</v>
      </c>
      <c r="O7" s="32">
        <f t="shared" si="0"/>
        <v>2400</v>
      </c>
      <c r="P7" s="32">
        <f t="shared" si="1"/>
        <v>360</v>
      </c>
      <c r="Q7" s="32">
        <f t="shared" si="2"/>
        <v>2040</v>
      </c>
      <c r="R7" s="32">
        <f>O7*INDEX(Assumptions!$B$5:$B$8,MATCH(K7,Assumptions!$A$5:$A$8,0))</f>
        <v>1200</v>
      </c>
      <c r="S7" s="32">
        <f t="shared" si="3"/>
        <v>840</v>
      </c>
      <c r="T7" s="33">
        <f t="shared" si="4"/>
        <v>0.41176470588235292</v>
      </c>
      <c r="U7" s="34">
        <f t="shared" si="5"/>
        <v>46023</v>
      </c>
      <c r="V7" s="32">
        <f t="shared" si="6"/>
        <v>0</v>
      </c>
      <c r="W7" s="28" t="str">
        <f t="shared" si="7"/>
        <v>Different</v>
      </c>
    </row>
    <row r="8" spans="1:25" x14ac:dyDescent="0.25">
      <c r="A8" s="28" t="s">
        <v>172</v>
      </c>
      <c r="B8" s="29">
        <v>46028</v>
      </c>
      <c r="C8" s="28" t="s">
        <v>161</v>
      </c>
      <c r="D8" s="28" t="s">
        <v>171</v>
      </c>
      <c r="E8" s="28" t="s">
        <v>97</v>
      </c>
      <c r="F8" s="28" t="s">
        <v>133</v>
      </c>
      <c r="G8" s="30">
        <v>4</v>
      </c>
      <c r="H8" s="31">
        <v>0</v>
      </c>
      <c r="I8" s="32">
        <v>14000</v>
      </c>
      <c r="J8" s="28" t="str">
        <f>INDEX(Product_Master!$B$2:$B$11,MATCH(C8,Product_Master!$A$2:$A$11,0))</f>
        <v>Headphones</v>
      </c>
      <c r="K8" s="28" t="str">
        <f>INDEX(Product_Master!$C$2:$C$11,MATCH(C8,Product_Master!$A$2:$A$11,0))</f>
        <v>Electronics</v>
      </c>
      <c r="L8" s="32">
        <f>INDEX(Product_Master!$D$2:$D$11,MATCH(C8,Product_Master!$A$2:$A$11,0))</f>
        <v>3500</v>
      </c>
      <c r="M8" s="28" t="str">
        <f>INDEX(Employee_Master!$B$2:$B$9,MATCH(D8,Employee_Master!$A$2:$A$9,0))</f>
        <v>Hamza</v>
      </c>
      <c r="N8" s="28" t="str">
        <f>INDEX(Employee_Master!$C$2:$C$9,MATCH(D8,Employee_Master!$A$2:$A$9,0))</f>
        <v>Delhi</v>
      </c>
      <c r="O8" s="32">
        <f t="shared" si="0"/>
        <v>14000</v>
      </c>
      <c r="P8" s="32">
        <f t="shared" si="1"/>
        <v>0</v>
      </c>
      <c r="Q8" s="32">
        <f t="shared" si="2"/>
        <v>14000</v>
      </c>
      <c r="R8" s="32">
        <f>O8*INDEX(Assumptions!$B$5:$B$8,MATCH(K8,Assumptions!$A$5:$A$8,0))</f>
        <v>10500</v>
      </c>
      <c r="S8" s="32">
        <f t="shared" si="3"/>
        <v>3500</v>
      </c>
      <c r="T8" s="33">
        <f t="shared" si="4"/>
        <v>0.25</v>
      </c>
      <c r="U8" s="34">
        <f t="shared" si="5"/>
        <v>46023</v>
      </c>
      <c r="V8" s="32">
        <f t="shared" si="6"/>
        <v>0</v>
      </c>
      <c r="W8" s="28" t="str">
        <f t="shared" si="7"/>
        <v>Different</v>
      </c>
    </row>
    <row r="9" spans="1:25" x14ac:dyDescent="0.25">
      <c r="A9" s="28" t="s">
        <v>173</v>
      </c>
      <c r="B9" s="29">
        <v>46081</v>
      </c>
      <c r="C9" s="28" t="s">
        <v>164</v>
      </c>
      <c r="D9" s="28" t="s">
        <v>171</v>
      </c>
      <c r="E9" s="28" t="s">
        <v>96</v>
      </c>
      <c r="F9" s="28" t="s">
        <v>135</v>
      </c>
      <c r="G9" s="30">
        <v>7</v>
      </c>
      <c r="H9" s="31">
        <v>0.1</v>
      </c>
      <c r="I9" s="32">
        <v>47250</v>
      </c>
      <c r="J9" s="28" t="str">
        <f>INDEX(Product_Master!$B$2:$B$11,MATCH(C9,Product_Master!$A$2:$A$11,0))</f>
        <v>Office Chair</v>
      </c>
      <c r="K9" s="28" t="str">
        <f>INDEX(Product_Master!$C$2:$C$11,MATCH(C9,Product_Master!$A$2:$A$11,0))</f>
        <v>Furniture</v>
      </c>
      <c r="L9" s="32">
        <f>INDEX(Product_Master!$D$2:$D$11,MATCH(C9,Product_Master!$A$2:$A$11,0))</f>
        <v>7500</v>
      </c>
      <c r="M9" s="28" t="str">
        <f>INDEX(Employee_Master!$B$2:$B$9,MATCH(D9,Employee_Master!$A$2:$A$9,0))</f>
        <v>Hamza</v>
      </c>
      <c r="N9" s="28" t="str">
        <f>INDEX(Employee_Master!$C$2:$C$9,MATCH(D9,Employee_Master!$A$2:$A$9,0))</f>
        <v>Delhi</v>
      </c>
      <c r="O9" s="32">
        <f t="shared" si="0"/>
        <v>52500</v>
      </c>
      <c r="P9" s="32">
        <f t="shared" si="1"/>
        <v>5250</v>
      </c>
      <c r="Q9" s="32">
        <f t="shared" si="2"/>
        <v>47250</v>
      </c>
      <c r="R9" s="32">
        <f>O9*INDEX(Assumptions!$B$5:$B$8,MATCH(K9,Assumptions!$A$5:$A$8,0))</f>
        <v>34125</v>
      </c>
      <c r="S9" s="32">
        <f t="shared" si="3"/>
        <v>13125</v>
      </c>
      <c r="T9" s="33">
        <f t="shared" si="4"/>
        <v>0.27777777777777779</v>
      </c>
      <c r="U9" s="34">
        <f t="shared" si="5"/>
        <v>46054</v>
      </c>
      <c r="V9" s="32">
        <f t="shared" si="6"/>
        <v>0</v>
      </c>
      <c r="W9" s="28" t="str">
        <f t="shared" si="7"/>
        <v>Different</v>
      </c>
    </row>
    <row r="10" spans="1:25" x14ac:dyDescent="0.25">
      <c r="A10" s="28" t="s">
        <v>174</v>
      </c>
      <c r="B10" s="29">
        <v>46100</v>
      </c>
      <c r="C10" s="28" t="s">
        <v>170</v>
      </c>
      <c r="D10" s="28" t="s">
        <v>175</v>
      </c>
      <c r="E10" s="28" t="s">
        <v>97</v>
      </c>
      <c r="F10" s="28" t="s">
        <v>132</v>
      </c>
      <c r="G10" s="30">
        <v>5</v>
      </c>
      <c r="H10" s="31">
        <v>0</v>
      </c>
      <c r="I10" s="32">
        <v>6000</v>
      </c>
      <c r="J10" s="28" t="str">
        <f>INDEX(Product_Master!$B$2:$B$11,MATCH(C10,Product_Master!$A$2:$A$11,0))</f>
        <v>T-Shirt</v>
      </c>
      <c r="K10" s="28" t="str">
        <f>INDEX(Product_Master!$C$2:$C$11,MATCH(C10,Product_Master!$A$2:$A$11,0))</f>
        <v>Clothing</v>
      </c>
      <c r="L10" s="32">
        <f>INDEX(Product_Master!$D$2:$D$11,MATCH(C10,Product_Master!$A$2:$A$11,0))</f>
        <v>1200</v>
      </c>
      <c r="M10" s="28" t="str">
        <f>INDEX(Employee_Master!$B$2:$B$9,MATCH(D10,Employee_Master!$A$2:$A$9,0))</f>
        <v>Arman</v>
      </c>
      <c r="N10" s="28" t="str">
        <f>INDEX(Employee_Master!$C$2:$C$9,MATCH(D10,Employee_Master!$A$2:$A$9,0))</f>
        <v>Mumbai</v>
      </c>
      <c r="O10" s="32">
        <f t="shared" si="0"/>
        <v>6000</v>
      </c>
      <c r="P10" s="32">
        <f t="shared" si="1"/>
        <v>0</v>
      </c>
      <c r="Q10" s="32">
        <f t="shared" si="2"/>
        <v>6000</v>
      </c>
      <c r="R10" s="32">
        <f>O10*INDEX(Assumptions!$B$5:$B$8,MATCH(K10,Assumptions!$A$5:$A$8,0))</f>
        <v>3000</v>
      </c>
      <c r="S10" s="32">
        <f t="shared" si="3"/>
        <v>3000</v>
      </c>
      <c r="T10" s="33">
        <f t="shared" si="4"/>
        <v>0.5</v>
      </c>
      <c r="U10" s="34">
        <f t="shared" si="5"/>
        <v>46082</v>
      </c>
      <c r="V10" s="32">
        <f t="shared" si="6"/>
        <v>0</v>
      </c>
      <c r="W10" s="28" t="str">
        <f t="shared" si="7"/>
        <v>Same</v>
      </c>
    </row>
    <row r="11" spans="1:25" x14ac:dyDescent="0.25">
      <c r="A11" s="28" t="s">
        <v>176</v>
      </c>
      <c r="B11" s="29">
        <v>46110</v>
      </c>
      <c r="C11" s="28" t="s">
        <v>177</v>
      </c>
      <c r="D11" s="28" t="s">
        <v>178</v>
      </c>
      <c r="E11" s="28" t="s">
        <v>96</v>
      </c>
      <c r="F11" s="28" t="s">
        <v>134</v>
      </c>
      <c r="G11" s="30">
        <v>5</v>
      </c>
      <c r="H11" s="31">
        <v>0.05</v>
      </c>
      <c r="I11" s="32">
        <v>11875</v>
      </c>
      <c r="J11" s="28" t="str">
        <f>INDEX(Product_Master!$B$2:$B$11,MATCH(C11,Product_Master!$A$2:$A$11,0))</f>
        <v>Keyboard</v>
      </c>
      <c r="K11" s="28" t="str">
        <f>INDEX(Product_Master!$C$2:$C$11,MATCH(C11,Product_Master!$A$2:$A$11,0))</f>
        <v>Electronics</v>
      </c>
      <c r="L11" s="32">
        <f>INDEX(Product_Master!$D$2:$D$11,MATCH(C11,Product_Master!$A$2:$A$11,0))</f>
        <v>2500</v>
      </c>
      <c r="M11" s="28" t="str">
        <f>INDEX(Employee_Master!$B$2:$B$9,MATCH(D11,Employee_Master!$A$2:$A$9,0))</f>
        <v>Sara</v>
      </c>
      <c r="N11" s="28" t="str">
        <f>INDEX(Employee_Master!$C$2:$C$9,MATCH(D11,Employee_Master!$A$2:$A$9,0))</f>
        <v>Lucknow</v>
      </c>
      <c r="O11" s="32">
        <f t="shared" si="0"/>
        <v>12500</v>
      </c>
      <c r="P11" s="32">
        <f t="shared" si="1"/>
        <v>625</v>
      </c>
      <c r="Q11" s="32">
        <f t="shared" si="2"/>
        <v>11875</v>
      </c>
      <c r="R11" s="32">
        <f>O11*INDEX(Assumptions!$B$5:$B$8,MATCH(K11,Assumptions!$A$5:$A$8,0))</f>
        <v>9375</v>
      </c>
      <c r="S11" s="32">
        <f t="shared" si="3"/>
        <v>2500</v>
      </c>
      <c r="T11" s="33">
        <f t="shared" si="4"/>
        <v>0.21052631578947367</v>
      </c>
      <c r="U11" s="34">
        <f t="shared" si="5"/>
        <v>46082</v>
      </c>
      <c r="V11" s="32">
        <f t="shared" si="6"/>
        <v>0</v>
      </c>
      <c r="W11" s="28" t="str">
        <f t="shared" si="7"/>
        <v>Same</v>
      </c>
    </row>
    <row r="12" spans="1:25" x14ac:dyDescent="0.25">
      <c r="A12" s="28" t="s">
        <v>179</v>
      </c>
      <c r="B12" s="29">
        <v>46057</v>
      </c>
      <c r="C12" s="28" t="s">
        <v>170</v>
      </c>
      <c r="D12" s="28" t="s">
        <v>159</v>
      </c>
      <c r="E12" s="28" t="s">
        <v>96</v>
      </c>
      <c r="F12" s="28" t="s">
        <v>135</v>
      </c>
      <c r="G12" s="30">
        <v>6</v>
      </c>
      <c r="H12" s="31">
        <v>0.15</v>
      </c>
      <c r="I12" s="32">
        <v>6120</v>
      </c>
      <c r="J12" s="28" t="str">
        <f>INDEX(Product_Master!$B$2:$B$11,MATCH(C12,Product_Master!$A$2:$A$11,0))</f>
        <v>T-Shirt</v>
      </c>
      <c r="K12" s="28" t="str">
        <f>INDEX(Product_Master!$C$2:$C$11,MATCH(C12,Product_Master!$A$2:$A$11,0))</f>
        <v>Clothing</v>
      </c>
      <c r="L12" s="32">
        <f>INDEX(Product_Master!$D$2:$D$11,MATCH(C12,Product_Master!$A$2:$A$11,0))</f>
        <v>1200</v>
      </c>
      <c r="M12" s="28" t="str">
        <f>INDEX(Employee_Master!$B$2:$B$9,MATCH(D12,Employee_Master!$A$2:$A$9,0))</f>
        <v>Rahul</v>
      </c>
      <c r="N12" s="28" t="str">
        <f>INDEX(Employee_Master!$C$2:$C$9,MATCH(D12,Employee_Master!$A$2:$A$9,0))</f>
        <v>Lucknow</v>
      </c>
      <c r="O12" s="32">
        <f t="shared" si="0"/>
        <v>7200</v>
      </c>
      <c r="P12" s="32">
        <f t="shared" si="1"/>
        <v>1080</v>
      </c>
      <c r="Q12" s="32">
        <f t="shared" si="2"/>
        <v>6120</v>
      </c>
      <c r="R12" s="32">
        <f>O12*INDEX(Assumptions!$B$5:$B$8,MATCH(K12,Assumptions!$A$5:$A$8,0))</f>
        <v>3600</v>
      </c>
      <c r="S12" s="32">
        <f t="shared" si="3"/>
        <v>2520</v>
      </c>
      <c r="T12" s="33">
        <f t="shared" si="4"/>
        <v>0.41176470588235292</v>
      </c>
      <c r="U12" s="34">
        <f t="shared" si="5"/>
        <v>46054</v>
      </c>
      <c r="V12" s="32">
        <f t="shared" si="6"/>
        <v>0</v>
      </c>
      <c r="W12" s="28" t="str">
        <f t="shared" si="7"/>
        <v>Same</v>
      </c>
    </row>
    <row r="13" spans="1:25" x14ac:dyDescent="0.25">
      <c r="A13" s="28" t="s">
        <v>180</v>
      </c>
      <c r="B13" s="29">
        <v>46073</v>
      </c>
      <c r="C13" s="28" t="s">
        <v>158</v>
      </c>
      <c r="D13" s="28" t="s">
        <v>178</v>
      </c>
      <c r="E13" s="28" t="s">
        <v>97</v>
      </c>
      <c r="F13" s="28" t="s">
        <v>133</v>
      </c>
      <c r="G13" s="30">
        <v>4</v>
      </c>
      <c r="H13" s="31">
        <v>0.15</v>
      </c>
      <c r="I13" s="32">
        <v>61200</v>
      </c>
      <c r="J13" s="28" t="str">
        <f>INDEX(Product_Master!$B$2:$B$11,MATCH(C13,Product_Master!$A$2:$A$11,0))</f>
        <v>Monitor</v>
      </c>
      <c r="K13" s="28" t="str">
        <f>INDEX(Product_Master!$C$2:$C$11,MATCH(C13,Product_Master!$A$2:$A$11,0))</f>
        <v>Electronics</v>
      </c>
      <c r="L13" s="32">
        <f>INDEX(Product_Master!$D$2:$D$11,MATCH(C13,Product_Master!$A$2:$A$11,0))</f>
        <v>18000</v>
      </c>
      <c r="M13" s="28" t="str">
        <f>INDEX(Employee_Master!$B$2:$B$9,MATCH(D13,Employee_Master!$A$2:$A$9,0))</f>
        <v>Sara</v>
      </c>
      <c r="N13" s="28" t="str">
        <f>INDEX(Employee_Master!$C$2:$C$9,MATCH(D13,Employee_Master!$A$2:$A$9,0))</f>
        <v>Lucknow</v>
      </c>
      <c r="O13" s="32">
        <f t="shared" si="0"/>
        <v>72000</v>
      </c>
      <c r="P13" s="32">
        <f t="shared" si="1"/>
        <v>10800</v>
      </c>
      <c r="Q13" s="32">
        <f t="shared" si="2"/>
        <v>61200</v>
      </c>
      <c r="R13" s="32">
        <f>O13*INDEX(Assumptions!$B$5:$B$8,MATCH(K13,Assumptions!$A$5:$A$8,0))</f>
        <v>54000</v>
      </c>
      <c r="S13" s="32">
        <f t="shared" si="3"/>
        <v>7200</v>
      </c>
      <c r="T13" s="33">
        <f t="shared" si="4"/>
        <v>0.11764705882352941</v>
      </c>
      <c r="U13" s="34">
        <f t="shared" si="5"/>
        <v>46054</v>
      </c>
      <c r="V13" s="32">
        <f t="shared" si="6"/>
        <v>0</v>
      </c>
      <c r="W13" s="28" t="str">
        <f t="shared" si="7"/>
        <v>Different</v>
      </c>
    </row>
    <row r="14" spans="1:25" x14ac:dyDescent="0.25">
      <c r="A14" s="28" t="s">
        <v>181</v>
      </c>
      <c r="B14" s="29">
        <v>46137</v>
      </c>
      <c r="C14" s="28" t="s">
        <v>182</v>
      </c>
      <c r="D14" s="28" t="s">
        <v>175</v>
      </c>
      <c r="E14" s="28" t="s">
        <v>97</v>
      </c>
      <c r="F14" s="28" t="s">
        <v>132</v>
      </c>
      <c r="G14" s="30">
        <v>5</v>
      </c>
      <c r="H14" s="31">
        <v>0.15</v>
      </c>
      <c r="I14" s="32">
        <v>7650</v>
      </c>
      <c r="J14" s="28" t="str">
        <f>INDEX(Product_Master!$B$2:$B$11,MATCH(C14,Product_Master!$A$2:$A$11,0))</f>
        <v>Backpack</v>
      </c>
      <c r="K14" s="28" t="str">
        <f>INDEX(Product_Master!$C$2:$C$11,MATCH(C14,Product_Master!$A$2:$A$11,0))</f>
        <v>Accessories</v>
      </c>
      <c r="L14" s="32">
        <f>INDEX(Product_Master!$D$2:$D$11,MATCH(C14,Product_Master!$A$2:$A$11,0))</f>
        <v>1800</v>
      </c>
      <c r="M14" s="28" t="str">
        <f>INDEX(Employee_Master!$B$2:$B$9,MATCH(D14,Employee_Master!$A$2:$A$9,0))</f>
        <v>Arman</v>
      </c>
      <c r="N14" s="28" t="str">
        <f>INDEX(Employee_Master!$C$2:$C$9,MATCH(D14,Employee_Master!$A$2:$A$9,0))</f>
        <v>Mumbai</v>
      </c>
      <c r="O14" s="32">
        <f t="shared" si="0"/>
        <v>9000</v>
      </c>
      <c r="P14" s="32">
        <f t="shared" si="1"/>
        <v>1350</v>
      </c>
      <c r="Q14" s="32">
        <f t="shared" si="2"/>
        <v>7650</v>
      </c>
      <c r="R14" s="32">
        <f>O14*INDEX(Assumptions!$B$5:$B$8,MATCH(K14,Assumptions!$A$5:$A$8,0))</f>
        <v>4950</v>
      </c>
      <c r="S14" s="32">
        <f t="shared" si="3"/>
        <v>2700</v>
      </c>
      <c r="T14" s="33">
        <f t="shared" si="4"/>
        <v>0.35294117647058826</v>
      </c>
      <c r="U14" s="34">
        <f t="shared" si="5"/>
        <v>46113</v>
      </c>
      <c r="V14" s="32">
        <f t="shared" si="6"/>
        <v>0</v>
      </c>
      <c r="W14" s="28" t="str">
        <f t="shared" si="7"/>
        <v>Same</v>
      </c>
    </row>
    <row r="15" spans="1:25" x14ac:dyDescent="0.25">
      <c r="A15" s="28" t="s">
        <v>183</v>
      </c>
      <c r="B15" s="29">
        <v>46119</v>
      </c>
      <c r="C15" s="28" t="s">
        <v>184</v>
      </c>
      <c r="D15" s="28" t="s">
        <v>185</v>
      </c>
      <c r="E15" s="28" t="s">
        <v>96</v>
      </c>
      <c r="F15" s="28" t="s">
        <v>132</v>
      </c>
      <c r="G15" s="30">
        <v>8</v>
      </c>
      <c r="H15" s="31">
        <v>0</v>
      </c>
      <c r="I15" s="32">
        <v>17600</v>
      </c>
      <c r="J15" s="28" t="str">
        <f>INDEX(Product_Master!$B$2:$B$11,MATCH(C15,Product_Master!$A$2:$A$11,0))</f>
        <v>Table Lamp</v>
      </c>
      <c r="K15" s="28" t="str">
        <f>INDEX(Product_Master!$C$2:$C$11,MATCH(C15,Product_Master!$A$2:$A$11,0))</f>
        <v>Furniture</v>
      </c>
      <c r="L15" s="32">
        <f>INDEX(Product_Master!$D$2:$D$11,MATCH(C15,Product_Master!$A$2:$A$11,0))</f>
        <v>2200</v>
      </c>
      <c r="M15" s="28" t="str">
        <f>INDEX(Employee_Master!$B$2:$B$9,MATCH(D15,Employee_Master!$A$2:$A$9,0))</f>
        <v>Kabir</v>
      </c>
      <c r="N15" s="28" t="str">
        <f>INDEX(Employee_Master!$C$2:$C$9,MATCH(D15,Employee_Master!$A$2:$A$9,0))</f>
        <v>Lucknow</v>
      </c>
      <c r="O15" s="32">
        <f t="shared" si="0"/>
        <v>17600</v>
      </c>
      <c r="P15" s="32">
        <f t="shared" si="1"/>
        <v>0</v>
      </c>
      <c r="Q15" s="32">
        <f t="shared" si="2"/>
        <v>17600</v>
      </c>
      <c r="R15" s="32">
        <f>O15*INDEX(Assumptions!$B$5:$B$8,MATCH(K15,Assumptions!$A$5:$A$8,0))</f>
        <v>11440</v>
      </c>
      <c r="S15" s="32">
        <f t="shared" si="3"/>
        <v>6160</v>
      </c>
      <c r="T15" s="33">
        <f t="shared" si="4"/>
        <v>0.35</v>
      </c>
      <c r="U15" s="34">
        <f t="shared" si="5"/>
        <v>46113</v>
      </c>
      <c r="V15" s="32">
        <f t="shared" si="6"/>
        <v>0</v>
      </c>
      <c r="W15" s="28" t="str">
        <f t="shared" si="7"/>
        <v>Same</v>
      </c>
    </row>
    <row r="16" spans="1:25" x14ac:dyDescent="0.25">
      <c r="A16" s="28" t="s">
        <v>186</v>
      </c>
      <c r="B16" s="29">
        <v>46072</v>
      </c>
      <c r="C16" s="28" t="s">
        <v>187</v>
      </c>
      <c r="D16" s="28" t="s">
        <v>162</v>
      </c>
      <c r="E16" s="28" t="s">
        <v>95</v>
      </c>
      <c r="F16" s="28" t="s">
        <v>132</v>
      </c>
      <c r="G16" s="30">
        <v>7</v>
      </c>
      <c r="H16" s="31">
        <v>0</v>
      </c>
      <c r="I16" s="32">
        <v>385000</v>
      </c>
      <c r="J16" s="28" t="str">
        <f>INDEX(Product_Master!$B$2:$B$11,MATCH(C16,Product_Master!$A$2:$A$11,0))</f>
        <v>Laptop</v>
      </c>
      <c r="K16" s="28" t="str">
        <f>INDEX(Product_Master!$C$2:$C$11,MATCH(C16,Product_Master!$A$2:$A$11,0))</f>
        <v>Electronics</v>
      </c>
      <c r="L16" s="32">
        <f>INDEX(Product_Master!$D$2:$D$11,MATCH(C16,Product_Master!$A$2:$A$11,0))</f>
        <v>55000</v>
      </c>
      <c r="M16" s="28" t="str">
        <f>INDEX(Employee_Master!$B$2:$B$9,MATCH(D16,Employee_Master!$A$2:$A$9,0))</f>
        <v>Priya</v>
      </c>
      <c r="N16" s="28" t="str">
        <f>INDEX(Employee_Master!$C$2:$C$9,MATCH(D16,Employee_Master!$A$2:$A$9,0))</f>
        <v>Delhi</v>
      </c>
      <c r="O16" s="32">
        <f t="shared" si="0"/>
        <v>385000</v>
      </c>
      <c r="P16" s="32">
        <f t="shared" si="1"/>
        <v>0</v>
      </c>
      <c r="Q16" s="32">
        <f t="shared" si="2"/>
        <v>385000</v>
      </c>
      <c r="R16" s="32">
        <f>O16*INDEX(Assumptions!$B$5:$B$8,MATCH(K16,Assumptions!$A$5:$A$8,0))</f>
        <v>288750</v>
      </c>
      <c r="S16" s="32">
        <f t="shared" si="3"/>
        <v>96250</v>
      </c>
      <c r="T16" s="33">
        <f t="shared" si="4"/>
        <v>0.25</v>
      </c>
      <c r="U16" s="34">
        <f t="shared" si="5"/>
        <v>46054</v>
      </c>
      <c r="V16" s="32">
        <f t="shared" si="6"/>
        <v>0</v>
      </c>
      <c r="W16" s="28" t="str">
        <f t="shared" si="7"/>
        <v>Same</v>
      </c>
    </row>
    <row r="17" spans="1:23" x14ac:dyDescent="0.25">
      <c r="A17" s="28" t="s">
        <v>188</v>
      </c>
      <c r="B17" s="29">
        <v>46121</v>
      </c>
      <c r="C17" s="28" t="s">
        <v>189</v>
      </c>
      <c r="D17" s="28" t="s">
        <v>190</v>
      </c>
      <c r="E17" s="28" t="s">
        <v>95</v>
      </c>
      <c r="F17" s="28" t="s">
        <v>135</v>
      </c>
      <c r="G17" s="30">
        <v>2</v>
      </c>
      <c r="H17" s="31">
        <v>0.1</v>
      </c>
      <c r="I17" s="32">
        <v>3960</v>
      </c>
      <c r="J17" s="28" t="str">
        <f>INDEX(Product_Master!$B$2:$B$11,MATCH(C17,Product_Master!$A$2:$A$11,0))</f>
        <v>Jeans</v>
      </c>
      <c r="K17" s="28" t="str">
        <f>INDEX(Product_Master!$C$2:$C$11,MATCH(C17,Product_Master!$A$2:$A$11,0))</f>
        <v>Clothing</v>
      </c>
      <c r="L17" s="32">
        <f>INDEX(Product_Master!$D$2:$D$11,MATCH(C17,Product_Master!$A$2:$A$11,0))</f>
        <v>2200</v>
      </c>
      <c r="M17" s="28" t="str">
        <f>INDEX(Employee_Master!$B$2:$B$9,MATCH(D17,Employee_Master!$A$2:$A$9,0))</f>
        <v>Sana</v>
      </c>
      <c r="N17" s="28" t="str">
        <f>INDEX(Employee_Master!$C$2:$C$9,MATCH(D17,Employee_Master!$A$2:$A$9,0))</f>
        <v>Delhi</v>
      </c>
      <c r="O17" s="32">
        <f t="shared" si="0"/>
        <v>4400</v>
      </c>
      <c r="P17" s="32">
        <f t="shared" si="1"/>
        <v>440</v>
      </c>
      <c r="Q17" s="32">
        <f t="shared" si="2"/>
        <v>3960</v>
      </c>
      <c r="R17" s="32">
        <f>O17*INDEX(Assumptions!$B$5:$B$8,MATCH(K17,Assumptions!$A$5:$A$8,0))</f>
        <v>2200</v>
      </c>
      <c r="S17" s="32">
        <f t="shared" si="3"/>
        <v>1760</v>
      </c>
      <c r="T17" s="33">
        <f t="shared" si="4"/>
        <v>0.44444444444444442</v>
      </c>
      <c r="U17" s="34">
        <f t="shared" si="5"/>
        <v>46113</v>
      </c>
      <c r="V17" s="32">
        <f t="shared" si="6"/>
        <v>0</v>
      </c>
      <c r="W17" s="28" t="str">
        <f t="shared" si="7"/>
        <v>Same</v>
      </c>
    </row>
    <row r="18" spans="1:23" x14ac:dyDescent="0.25">
      <c r="A18" s="28" t="s">
        <v>191</v>
      </c>
      <c r="B18" s="29">
        <v>46115</v>
      </c>
      <c r="C18" s="28" t="s">
        <v>170</v>
      </c>
      <c r="D18" s="28" t="s">
        <v>162</v>
      </c>
      <c r="E18" s="28" t="s">
        <v>95</v>
      </c>
      <c r="F18" s="28" t="s">
        <v>132</v>
      </c>
      <c r="G18" s="30">
        <v>8</v>
      </c>
      <c r="H18" s="31">
        <v>0</v>
      </c>
      <c r="I18" s="32">
        <v>9600</v>
      </c>
      <c r="J18" s="28" t="str">
        <f>INDEX(Product_Master!$B$2:$B$11,MATCH(C18,Product_Master!$A$2:$A$11,0))</f>
        <v>T-Shirt</v>
      </c>
      <c r="K18" s="28" t="str">
        <f>INDEX(Product_Master!$C$2:$C$11,MATCH(C18,Product_Master!$A$2:$A$11,0))</f>
        <v>Clothing</v>
      </c>
      <c r="L18" s="32">
        <f>INDEX(Product_Master!$D$2:$D$11,MATCH(C18,Product_Master!$A$2:$A$11,0))</f>
        <v>1200</v>
      </c>
      <c r="M18" s="28" t="str">
        <f>INDEX(Employee_Master!$B$2:$B$9,MATCH(D18,Employee_Master!$A$2:$A$9,0))</f>
        <v>Priya</v>
      </c>
      <c r="N18" s="28" t="str">
        <f>INDEX(Employee_Master!$C$2:$C$9,MATCH(D18,Employee_Master!$A$2:$A$9,0))</f>
        <v>Delhi</v>
      </c>
      <c r="O18" s="32">
        <f t="shared" si="0"/>
        <v>9600</v>
      </c>
      <c r="P18" s="32">
        <f t="shared" si="1"/>
        <v>0</v>
      </c>
      <c r="Q18" s="32">
        <f t="shared" si="2"/>
        <v>9600</v>
      </c>
      <c r="R18" s="32">
        <f>O18*INDEX(Assumptions!$B$5:$B$8,MATCH(K18,Assumptions!$A$5:$A$8,0))</f>
        <v>4800</v>
      </c>
      <c r="S18" s="32">
        <f t="shared" si="3"/>
        <v>4800</v>
      </c>
      <c r="T18" s="33">
        <f t="shared" si="4"/>
        <v>0.5</v>
      </c>
      <c r="U18" s="34">
        <f t="shared" si="5"/>
        <v>46113</v>
      </c>
      <c r="V18" s="32">
        <f t="shared" si="6"/>
        <v>0</v>
      </c>
      <c r="W18" s="28" t="str">
        <f t="shared" si="7"/>
        <v>Same</v>
      </c>
    </row>
    <row r="19" spans="1:23" x14ac:dyDescent="0.25">
      <c r="A19" s="28" t="s">
        <v>192</v>
      </c>
      <c r="B19" s="29">
        <v>46042</v>
      </c>
      <c r="C19" s="28" t="s">
        <v>166</v>
      </c>
      <c r="D19" s="28" t="s">
        <v>175</v>
      </c>
      <c r="E19" s="28" t="s">
        <v>97</v>
      </c>
      <c r="F19" s="28" t="s">
        <v>135</v>
      </c>
      <c r="G19" s="30">
        <v>5</v>
      </c>
      <c r="H19" s="31">
        <v>0.05</v>
      </c>
      <c r="I19" s="32">
        <v>57000</v>
      </c>
      <c r="J19" s="28" t="str">
        <f>INDEX(Product_Master!$B$2:$B$11,MATCH(C19,Product_Master!$A$2:$A$11,0))</f>
        <v>Desk</v>
      </c>
      <c r="K19" s="28" t="str">
        <f>INDEX(Product_Master!$C$2:$C$11,MATCH(C19,Product_Master!$A$2:$A$11,0))</f>
        <v>Furniture</v>
      </c>
      <c r="L19" s="32">
        <f>INDEX(Product_Master!$D$2:$D$11,MATCH(C19,Product_Master!$A$2:$A$11,0))</f>
        <v>12000</v>
      </c>
      <c r="M19" s="28" t="str">
        <f>INDEX(Employee_Master!$B$2:$B$9,MATCH(D19,Employee_Master!$A$2:$A$9,0))</f>
        <v>Arman</v>
      </c>
      <c r="N19" s="28" t="str">
        <f>INDEX(Employee_Master!$C$2:$C$9,MATCH(D19,Employee_Master!$A$2:$A$9,0))</f>
        <v>Mumbai</v>
      </c>
      <c r="O19" s="32">
        <f t="shared" si="0"/>
        <v>60000</v>
      </c>
      <c r="P19" s="32">
        <f t="shared" si="1"/>
        <v>3000</v>
      </c>
      <c r="Q19" s="32">
        <f t="shared" si="2"/>
        <v>57000</v>
      </c>
      <c r="R19" s="32">
        <f>O19*INDEX(Assumptions!$B$5:$B$8,MATCH(K19,Assumptions!$A$5:$A$8,0))</f>
        <v>39000</v>
      </c>
      <c r="S19" s="32">
        <f t="shared" si="3"/>
        <v>18000</v>
      </c>
      <c r="T19" s="33">
        <f t="shared" si="4"/>
        <v>0.31578947368421051</v>
      </c>
      <c r="U19" s="34">
        <f t="shared" si="5"/>
        <v>46023</v>
      </c>
      <c r="V19" s="32">
        <f t="shared" si="6"/>
        <v>0</v>
      </c>
      <c r="W19" s="28" t="str">
        <f t="shared" si="7"/>
        <v>Same</v>
      </c>
    </row>
    <row r="20" spans="1:23" x14ac:dyDescent="0.25">
      <c r="A20" s="28" t="s">
        <v>193</v>
      </c>
      <c r="B20" s="29">
        <v>46025</v>
      </c>
      <c r="C20" s="28" t="s">
        <v>170</v>
      </c>
      <c r="D20" s="28" t="s">
        <v>175</v>
      </c>
      <c r="E20" s="28" t="s">
        <v>97</v>
      </c>
      <c r="F20" s="28" t="s">
        <v>135</v>
      </c>
      <c r="G20" s="30">
        <v>6</v>
      </c>
      <c r="H20" s="31">
        <v>0.15</v>
      </c>
      <c r="I20" s="32">
        <v>6120</v>
      </c>
      <c r="J20" s="28" t="str">
        <f>INDEX(Product_Master!$B$2:$B$11,MATCH(C20,Product_Master!$A$2:$A$11,0))</f>
        <v>T-Shirt</v>
      </c>
      <c r="K20" s="28" t="str">
        <f>INDEX(Product_Master!$C$2:$C$11,MATCH(C20,Product_Master!$A$2:$A$11,0))</f>
        <v>Clothing</v>
      </c>
      <c r="L20" s="32">
        <f>INDEX(Product_Master!$D$2:$D$11,MATCH(C20,Product_Master!$A$2:$A$11,0))</f>
        <v>1200</v>
      </c>
      <c r="M20" s="28" t="str">
        <f>INDEX(Employee_Master!$B$2:$B$9,MATCH(D20,Employee_Master!$A$2:$A$9,0))</f>
        <v>Arman</v>
      </c>
      <c r="N20" s="28" t="str">
        <f>INDEX(Employee_Master!$C$2:$C$9,MATCH(D20,Employee_Master!$A$2:$A$9,0))</f>
        <v>Mumbai</v>
      </c>
      <c r="O20" s="32">
        <f t="shared" si="0"/>
        <v>7200</v>
      </c>
      <c r="P20" s="32">
        <f t="shared" si="1"/>
        <v>1080</v>
      </c>
      <c r="Q20" s="32">
        <f t="shared" si="2"/>
        <v>6120</v>
      </c>
      <c r="R20" s="32">
        <f>O20*INDEX(Assumptions!$B$5:$B$8,MATCH(K20,Assumptions!$A$5:$A$8,0))</f>
        <v>3600</v>
      </c>
      <c r="S20" s="32">
        <f t="shared" si="3"/>
        <v>2520</v>
      </c>
      <c r="T20" s="33">
        <f t="shared" si="4"/>
        <v>0.41176470588235292</v>
      </c>
      <c r="U20" s="34">
        <f t="shared" si="5"/>
        <v>46023</v>
      </c>
      <c r="V20" s="32">
        <f t="shared" si="6"/>
        <v>0</v>
      </c>
      <c r="W20" s="28" t="str">
        <f t="shared" si="7"/>
        <v>Same</v>
      </c>
    </row>
    <row r="21" spans="1:23" x14ac:dyDescent="0.25">
      <c r="A21" s="28" t="s">
        <v>194</v>
      </c>
      <c r="B21" s="29">
        <v>46135</v>
      </c>
      <c r="C21" s="28" t="s">
        <v>158</v>
      </c>
      <c r="D21" s="28" t="s">
        <v>168</v>
      </c>
      <c r="E21" s="28" t="s">
        <v>95</v>
      </c>
      <c r="F21" s="28" t="s">
        <v>132</v>
      </c>
      <c r="G21" s="30">
        <v>1</v>
      </c>
      <c r="H21" s="31">
        <v>0.05</v>
      </c>
      <c r="I21" s="32">
        <v>17100</v>
      </c>
      <c r="J21" s="28" t="str">
        <f>INDEX(Product_Master!$B$2:$B$11,MATCH(C21,Product_Master!$A$2:$A$11,0))</f>
        <v>Monitor</v>
      </c>
      <c r="K21" s="28" t="str">
        <f>INDEX(Product_Master!$C$2:$C$11,MATCH(C21,Product_Master!$A$2:$A$11,0))</f>
        <v>Electronics</v>
      </c>
      <c r="L21" s="32">
        <f>INDEX(Product_Master!$D$2:$D$11,MATCH(C21,Product_Master!$A$2:$A$11,0))</f>
        <v>18000</v>
      </c>
      <c r="M21" s="28" t="str">
        <f>INDEX(Employee_Master!$B$2:$B$9,MATCH(D21,Employee_Master!$A$2:$A$9,0))</f>
        <v>Ayesha</v>
      </c>
      <c r="N21" s="28" t="str">
        <f>INDEX(Employee_Master!$C$2:$C$9,MATCH(D21,Employee_Master!$A$2:$A$9,0))</f>
        <v>Mumbai</v>
      </c>
      <c r="O21" s="32">
        <f t="shared" si="0"/>
        <v>18000</v>
      </c>
      <c r="P21" s="32">
        <f t="shared" si="1"/>
        <v>900</v>
      </c>
      <c r="Q21" s="32">
        <f t="shared" si="2"/>
        <v>17100</v>
      </c>
      <c r="R21" s="32">
        <f>O21*INDEX(Assumptions!$B$5:$B$8,MATCH(K21,Assumptions!$A$5:$A$8,0))</f>
        <v>13500</v>
      </c>
      <c r="S21" s="32">
        <f t="shared" si="3"/>
        <v>3600</v>
      </c>
      <c r="T21" s="33">
        <f t="shared" si="4"/>
        <v>0.21052631578947367</v>
      </c>
      <c r="U21" s="34">
        <f t="shared" si="5"/>
        <v>46113</v>
      </c>
      <c r="V21" s="32">
        <f t="shared" si="6"/>
        <v>0</v>
      </c>
      <c r="W21" s="28" t="str">
        <f t="shared" si="7"/>
        <v>Different</v>
      </c>
    </row>
    <row r="22" spans="1:23" x14ac:dyDescent="0.25">
      <c r="A22" s="28" t="s">
        <v>195</v>
      </c>
      <c r="B22" s="29">
        <v>46039</v>
      </c>
      <c r="C22" s="28" t="s">
        <v>184</v>
      </c>
      <c r="D22" s="28" t="s">
        <v>162</v>
      </c>
      <c r="E22" s="28" t="s">
        <v>95</v>
      </c>
      <c r="F22" s="28" t="s">
        <v>134</v>
      </c>
      <c r="G22" s="30">
        <v>2</v>
      </c>
      <c r="H22" s="31">
        <v>0.05</v>
      </c>
      <c r="I22" s="32">
        <v>4180</v>
      </c>
      <c r="J22" s="28" t="str">
        <f>INDEX(Product_Master!$B$2:$B$11,MATCH(C22,Product_Master!$A$2:$A$11,0))</f>
        <v>Table Lamp</v>
      </c>
      <c r="K22" s="28" t="str">
        <f>INDEX(Product_Master!$C$2:$C$11,MATCH(C22,Product_Master!$A$2:$A$11,0))</f>
        <v>Furniture</v>
      </c>
      <c r="L22" s="32">
        <f>INDEX(Product_Master!$D$2:$D$11,MATCH(C22,Product_Master!$A$2:$A$11,0))</f>
        <v>2200</v>
      </c>
      <c r="M22" s="28" t="str">
        <f>INDEX(Employee_Master!$B$2:$B$9,MATCH(D22,Employee_Master!$A$2:$A$9,0))</f>
        <v>Priya</v>
      </c>
      <c r="N22" s="28" t="str">
        <f>INDEX(Employee_Master!$C$2:$C$9,MATCH(D22,Employee_Master!$A$2:$A$9,0))</f>
        <v>Delhi</v>
      </c>
      <c r="O22" s="32">
        <f t="shared" si="0"/>
        <v>4400</v>
      </c>
      <c r="P22" s="32">
        <f t="shared" si="1"/>
        <v>220</v>
      </c>
      <c r="Q22" s="32">
        <f t="shared" si="2"/>
        <v>4180</v>
      </c>
      <c r="R22" s="32">
        <f>O22*INDEX(Assumptions!$B$5:$B$8,MATCH(K22,Assumptions!$A$5:$A$8,0))</f>
        <v>2860</v>
      </c>
      <c r="S22" s="32">
        <f t="shared" si="3"/>
        <v>1320</v>
      </c>
      <c r="T22" s="33">
        <f t="shared" si="4"/>
        <v>0.31578947368421051</v>
      </c>
      <c r="U22" s="34">
        <f t="shared" si="5"/>
        <v>46023</v>
      </c>
      <c r="V22" s="32">
        <f t="shared" si="6"/>
        <v>0</v>
      </c>
      <c r="W22" s="28" t="str">
        <f t="shared" si="7"/>
        <v>Same</v>
      </c>
    </row>
    <row r="23" spans="1:23" x14ac:dyDescent="0.25">
      <c r="A23" s="28" t="s">
        <v>196</v>
      </c>
      <c r="B23" s="29">
        <v>46114</v>
      </c>
      <c r="C23" s="28" t="s">
        <v>182</v>
      </c>
      <c r="D23" s="28" t="s">
        <v>175</v>
      </c>
      <c r="E23" s="28" t="s">
        <v>97</v>
      </c>
      <c r="F23" s="28" t="s">
        <v>134</v>
      </c>
      <c r="G23" s="30">
        <v>4</v>
      </c>
      <c r="H23" s="31">
        <v>0.05</v>
      </c>
      <c r="I23" s="32">
        <v>6840</v>
      </c>
      <c r="J23" s="28" t="str">
        <f>INDEX(Product_Master!$B$2:$B$11,MATCH(C23,Product_Master!$A$2:$A$11,0))</f>
        <v>Backpack</v>
      </c>
      <c r="K23" s="28" t="str">
        <f>INDEX(Product_Master!$C$2:$C$11,MATCH(C23,Product_Master!$A$2:$A$11,0))</f>
        <v>Accessories</v>
      </c>
      <c r="L23" s="32">
        <f>INDEX(Product_Master!$D$2:$D$11,MATCH(C23,Product_Master!$A$2:$A$11,0))</f>
        <v>1800</v>
      </c>
      <c r="M23" s="28" t="str">
        <f>INDEX(Employee_Master!$B$2:$B$9,MATCH(D23,Employee_Master!$A$2:$A$9,0))</f>
        <v>Arman</v>
      </c>
      <c r="N23" s="28" t="str">
        <f>INDEX(Employee_Master!$C$2:$C$9,MATCH(D23,Employee_Master!$A$2:$A$9,0))</f>
        <v>Mumbai</v>
      </c>
      <c r="O23" s="32">
        <f t="shared" si="0"/>
        <v>7200</v>
      </c>
      <c r="P23" s="32">
        <f t="shared" si="1"/>
        <v>360</v>
      </c>
      <c r="Q23" s="32">
        <f t="shared" si="2"/>
        <v>6840</v>
      </c>
      <c r="R23" s="32">
        <f>O23*INDEX(Assumptions!$B$5:$B$8,MATCH(K23,Assumptions!$A$5:$A$8,0))</f>
        <v>3960.0000000000005</v>
      </c>
      <c r="S23" s="32">
        <f t="shared" si="3"/>
        <v>2879.9999999999995</v>
      </c>
      <c r="T23" s="33">
        <f t="shared" si="4"/>
        <v>0.42105263157894729</v>
      </c>
      <c r="U23" s="34">
        <f t="shared" si="5"/>
        <v>46113</v>
      </c>
      <c r="V23" s="32">
        <f t="shared" si="6"/>
        <v>0</v>
      </c>
      <c r="W23" s="28" t="str">
        <f t="shared" si="7"/>
        <v>Same</v>
      </c>
    </row>
    <row r="24" spans="1:23" x14ac:dyDescent="0.25">
      <c r="A24" s="28" t="s">
        <v>197</v>
      </c>
      <c r="B24" s="29">
        <v>46038</v>
      </c>
      <c r="C24" s="28" t="s">
        <v>166</v>
      </c>
      <c r="D24" s="28" t="s">
        <v>185</v>
      </c>
      <c r="E24" s="28" t="s">
        <v>97</v>
      </c>
      <c r="F24" s="28" t="s">
        <v>133</v>
      </c>
      <c r="G24" s="30">
        <v>8</v>
      </c>
      <c r="H24" s="31">
        <v>0.15</v>
      </c>
      <c r="I24" s="32">
        <v>81600</v>
      </c>
      <c r="J24" s="28" t="str">
        <f>INDEX(Product_Master!$B$2:$B$11,MATCH(C24,Product_Master!$A$2:$A$11,0))</f>
        <v>Desk</v>
      </c>
      <c r="K24" s="28" t="str">
        <f>INDEX(Product_Master!$C$2:$C$11,MATCH(C24,Product_Master!$A$2:$A$11,0))</f>
        <v>Furniture</v>
      </c>
      <c r="L24" s="32">
        <f>INDEX(Product_Master!$D$2:$D$11,MATCH(C24,Product_Master!$A$2:$A$11,0))</f>
        <v>12000</v>
      </c>
      <c r="M24" s="28" t="str">
        <f>INDEX(Employee_Master!$B$2:$B$9,MATCH(D24,Employee_Master!$A$2:$A$9,0))</f>
        <v>Kabir</v>
      </c>
      <c r="N24" s="28" t="str">
        <f>INDEX(Employee_Master!$C$2:$C$9,MATCH(D24,Employee_Master!$A$2:$A$9,0))</f>
        <v>Lucknow</v>
      </c>
      <c r="O24" s="32">
        <f t="shared" si="0"/>
        <v>96000</v>
      </c>
      <c r="P24" s="32">
        <f t="shared" si="1"/>
        <v>14400</v>
      </c>
      <c r="Q24" s="32">
        <f t="shared" si="2"/>
        <v>81600</v>
      </c>
      <c r="R24" s="32">
        <f>O24*INDEX(Assumptions!$B$5:$B$8,MATCH(K24,Assumptions!$A$5:$A$8,0))</f>
        <v>62400</v>
      </c>
      <c r="S24" s="32">
        <f t="shared" si="3"/>
        <v>19200</v>
      </c>
      <c r="T24" s="33">
        <f t="shared" si="4"/>
        <v>0.23529411764705882</v>
      </c>
      <c r="U24" s="34">
        <f t="shared" si="5"/>
        <v>46023</v>
      </c>
      <c r="V24" s="32">
        <f t="shared" si="6"/>
        <v>0</v>
      </c>
      <c r="W24" s="28" t="str">
        <f t="shared" si="7"/>
        <v>Different</v>
      </c>
    </row>
    <row r="25" spans="1:23" x14ac:dyDescent="0.25">
      <c r="A25" s="28" t="s">
        <v>198</v>
      </c>
      <c r="B25" s="29">
        <v>46023</v>
      </c>
      <c r="C25" s="28" t="s">
        <v>164</v>
      </c>
      <c r="D25" s="28" t="s">
        <v>178</v>
      </c>
      <c r="E25" s="28" t="s">
        <v>96</v>
      </c>
      <c r="F25" s="28" t="s">
        <v>135</v>
      </c>
      <c r="G25" s="30">
        <v>4</v>
      </c>
      <c r="H25" s="31">
        <v>0.05</v>
      </c>
      <c r="I25" s="32">
        <v>28500</v>
      </c>
      <c r="J25" s="28" t="str">
        <f>INDEX(Product_Master!$B$2:$B$11,MATCH(C25,Product_Master!$A$2:$A$11,0))</f>
        <v>Office Chair</v>
      </c>
      <c r="K25" s="28" t="str">
        <f>INDEX(Product_Master!$C$2:$C$11,MATCH(C25,Product_Master!$A$2:$A$11,0))</f>
        <v>Furniture</v>
      </c>
      <c r="L25" s="32">
        <f>INDEX(Product_Master!$D$2:$D$11,MATCH(C25,Product_Master!$A$2:$A$11,0))</f>
        <v>7500</v>
      </c>
      <c r="M25" s="28" t="str">
        <f>INDEX(Employee_Master!$B$2:$B$9,MATCH(D25,Employee_Master!$A$2:$A$9,0))</f>
        <v>Sara</v>
      </c>
      <c r="N25" s="28" t="str">
        <f>INDEX(Employee_Master!$C$2:$C$9,MATCH(D25,Employee_Master!$A$2:$A$9,0))</f>
        <v>Lucknow</v>
      </c>
      <c r="O25" s="32">
        <f t="shared" si="0"/>
        <v>30000</v>
      </c>
      <c r="P25" s="32">
        <f t="shared" si="1"/>
        <v>1500</v>
      </c>
      <c r="Q25" s="32">
        <f t="shared" si="2"/>
        <v>28500</v>
      </c>
      <c r="R25" s="32">
        <f>O25*INDEX(Assumptions!$B$5:$B$8,MATCH(K25,Assumptions!$A$5:$A$8,0))</f>
        <v>19500</v>
      </c>
      <c r="S25" s="32">
        <f t="shared" si="3"/>
        <v>9000</v>
      </c>
      <c r="T25" s="33">
        <f t="shared" si="4"/>
        <v>0.31578947368421051</v>
      </c>
      <c r="U25" s="34">
        <f t="shared" si="5"/>
        <v>46023</v>
      </c>
      <c r="V25" s="32">
        <f t="shared" si="6"/>
        <v>0</v>
      </c>
      <c r="W25" s="28" t="str">
        <f t="shared" si="7"/>
        <v>Same</v>
      </c>
    </row>
    <row r="26" spans="1:23" x14ac:dyDescent="0.25">
      <c r="A26" s="28" t="s">
        <v>199</v>
      </c>
      <c r="B26" s="29">
        <v>46088</v>
      </c>
      <c r="C26" s="28" t="s">
        <v>158</v>
      </c>
      <c r="D26" s="28" t="s">
        <v>159</v>
      </c>
      <c r="E26" s="28" t="s">
        <v>96</v>
      </c>
      <c r="F26" s="28" t="s">
        <v>135</v>
      </c>
      <c r="G26" s="30">
        <v>6</v>
      </c>
      <c r="H26" s="31">
        <v>0</v>
      </c>
      <c r="I26" s="32">
        <v>108000</v>
      </c>
      <c r="J26" s="28" t="str">
        <f>INDEX(Product_Master!$B$2:$B$11,MATCH(C26,Product_Master!$A$2:$A$11,0))</f>
        <v>Monitor</v>
      </c>
      <c r="K26" s="28" t="str">
        <f>INDEX(Product_Master!$C$2:$C$11,MATCH(C26,Product_Master!$A$2:$A$11,0))</f>
        <v>Electronics</v>
      </c>
      <c r="L26" s="32">
        <f>INDEX(Product_Master!$D$2:$D$11,MATCH(C26,Product_Master!$A$2:$A$11,0))</f>
        <v>18000</v>
      </c>
      <c r="M26" s="28" t="str">
        <f>INDEX(Employee_Master!$B$2:$B$9,MATCH(D26,Employee_Master!$A$2:$A$9,0))</f>
        <v>Rahul</v>
      </c>
      <c r="N26" s="28" t="str">
        <f>INDEX(Employee_Master!$C$2:$C$9,MATCH(D26,Employee_Master!$A$2:$A$9,0))</f>
        <v>Lucknow</v>
      </c>
      <c r="O26" s="32">
        <f t="shared" si="0"/>
        <v>108000</v>
      </c>
      <c r="P26" s="32">
        <f t="shared" si="1"/>
        <v>0</v>
      </c>
      <c r="Q26" s="32">
        <f t="shared" si="2"/>
        <v>108000</v>
      </c>
      <c r="R26" s="32">
        <f>O26*INDEX(Assumptions!$B$5:$B$8,MATCH(K26,Assumptions!$A$5:$A$8,0))</f>
        <v>81000</v>
      </c>
      <c r="S26" s="32">
        <f t="shared" si="3"/>
        <v>27000</v>
      </c>
      <c r="T26" s="33">
        <f t="shared" si="4"/>
        <v>0.25</v>
      </c>
      <c r="U26" s="34">
        <f t="shared" si="5"/>
        <v>46082</v>
      </c>
      <c r="V26" s="32">
        <f t="shared" si="6"/>
        <v>0</v>
      </c>
      <c r="W26" s="28" t="str">
        <f t="shared" si="7"/>
        <v>Same</v>
      </c>
    </row>
    <row r="27" spans="1:23" x14ac:dyDescent="0.25">
      <c r="A27" s="28" t="s">
        <v>200</v>
      </c>
      <c r="B27" s="29">
        <v>46054</v>
      </c>
      <c r="C27" s="28" t="s">
        <v>164</v>
      </c>
      <c r="D27" s="28" t="s">
        <v>171</v>
      </c>
      <c r="E27" s="28" t="s">
        <v>95</v>
      </c>
      <c r="F27" s="28" t="s">
        <v>132</v>
      </c>
      <c r="G27" s="30">
        <v>3</v>
      </c>
      <c r="H27" s="31">
        <v>0.15</v>
      </c>
      <c r="I27" s="32">
        <v>19125</v>
      </c>
      <c r="J27" s="28" t="str">
        <f>INDEX(Product_Master!$B$2:$B$11,MATCH(C27,Product_Master!$A$2:$A$11,0))</f>
        <v>Office Chair</v>
      </c>
      <c r="K27" s="28" t="str">
        <f>INDEX(Product_Master!$C$2:$C$11,MATCH(C27,Product_Master!$A$2:$A$11,0))</f>
        <v>Furniture</v>
      </c>
      <c r="L27" s="32">
        <f>INDEX(Product_Master!$D$2:$D$11,MATCH(C27,Product_Master!$A$2:$A$11,0))</f>
        <v>7500</v>
      </c>
      <c r="M27" s="28" t="str">
        <f>INDEX(Employee_Master!$B$2:$B$9,MATCH(D27,Employee_Master!$A$2:$A$9,0))</f>
        <v>Hamza</v>
      </c>
      <c r="N27" s="28" t="str">
        <f>INDEX(Employee_Master!$C$2:$C$9,MATCH(D27,Employee_Master!$A$2:$A$9,0))</f>
        <v>Delhi</v>
      </c>
      <c r="O27" s="32">
        <f t="shared" si="0"/>
        <v>22500</v>
      </c>
      <c r="P27" s="32">
        <f t="shared" si="1"/>
        <v>3375</v>
      </c>
      <c r="Q27" s="32">
        <f t="shared" si="2"/>
        <v>19125</v>
      </c>
      <c r="R27" s="32">
        <f>O27*INDEX(Assumptions!$B$5:$B$8,MATCH(K27,Assumptions!$A$5:$A$8,0))</f>
        <v>14625</v>
      </c>
      <c r="S27" s="32">
        <f t="shared" si="3"/>
        <v>4500</v>
      </c>
      <c r="T27" s="33">
        <f t="shared" si="4"/>
        <v>0.23529411764705882</v>
      </c>
      <c r="U27" s="34">
        <f t="shared" si="5"/>
        <v>46054</v>
      </c>
      <c r="V27" s="32">
        <f t="shared" si="6"/>
        <v>0</v>
      </c>
      <c r="W27" s="28" t="str">
        <f t="shared" si="7"/>
        <v>Same</v>
      </c>
    </row>
    <row r="28" spans="1:23" x14ac:dyDescent="0.25">
      <c r="A28" s="28" t="s">
        <v>201</v>
      </c>
      <c r="B28" s="29">
        <v>46077</v>
      </c>
      <c r="C28" s="28" t="s">
        <v>182</v>
      </c>
      <c r="D28" s="28" t="s">
        <v>185</v>
      </c>
      <c r="E28" s="28" t="s">
        <v>96</v>
      </c>
      <c r="F28" s="28" t="s">
        <v>135</v>
      </c>
      <c r="G28" s="30">
        <v>7</v>
      </c>
      <c r="H28" s="31">
        <v>0.1</v>
      </c>
      <c r="I28" s="32">
        <v>11340</v>
      </c>
      <c r="J28" s="28" t="str">
        <f>INDEX(Product_Master!$B$2:$B$11,MATCH(C28,Product_Master!$A$2:$A$11,0))</f>
        <v>Backpack</v>
      </c>
      <c r="K28" s="28" t="str">
        <f>INDEX(Product_Master!$C$2:$C$11,MATCH(C28,Product_Master!$A$2:$A$11,0))</f>
        <v>Accessories</v>
      </c>
      <c r="L28" s="32">
        <f>INDEX(Product_Master!$D$2:$D$11,MATCH(C28,Product_Master!$A$2:$A$11,0))</f>
        <v>1800</v>
      </c>
      <c r="M28" s="28" t="str">
        <f>INDEX(Employee_Master!$B$2:$B$9,MATCH(D28,Employee_Master!$A$2:$A$9,0))</f>
        <v>Kabir</v>
      </c>
      <c r="N28" s="28" t="str">
        <f>INDEX(Employee_Master!$C$2:$C$9,MATCH(D28,Employee_Master!$A$2:$A$9,0))</f>
        <v>Lucknow</v>
      </c>
      <c r="O28" s="32">
        <f t="shared" si="0"/>
        <v>12600</v>
      </c>
      <c r="P28" s="32">
        <f t="shared" si="1"/>
        <v>1260</v>
      </c>
      <c r="Q28" s="32">
        <f t="shared" si="2"/>
        <v>11340</v>
      </c>
      <c r="R28" s="32">
        <f>O28*INDEX(Assumptions!$B$5:$B$8,MATCH(K28,Assumptions!$A$5:$A$8,0))</f>
        <v>6930.0000000000009</v>
      </c>
      <c r="S28" s="32">
        <f t="shared" si="3"/>
        <v>4409.9999999999991</v>
      </c>
      <c r="T28" s="33">
        <f t="shared" si="4"/>
        <v>0.38888888888888878</v>
      </c>
      <c r="U28" s="34">
        <f t="shared" si="5"/>
        <v>46054</v>
      </c>
      <c r="V28" s="32">
        <f t="shared" si="6"/>
        <v>0</v>
      </c>
      <c r="W28" s="28" t="str">
        <f t="shared" si="7"/>
        <v>Same</v>
      </c>
    </row>
    <row r="29" spans="1:23" x14ac:dyDescent="0.25">
      <c r="A29" s="28" t="s">
        <v>202</v>
      </c>
      <c r="B29" s="29">
        <v>46116</v>
      </c>
      <c r="C29" s="28" t="s">
        <v>189</v>
      </c>
      <c r="D29" s="28" t="s">
        <v>190</v>
      </c>
      <c r="E29" s="28" t="s">
        <v>96</v>
      </c>
      <c r="F29" s="28" t="s">
        <v>135</v>
      </c>
      <c r="G29" s="30">
        <v>1</v>
      </c>
      <c r="H29" s="31">
        <v>0.15</v>
      </c>
      <c r="I29" s="32">
        <v>1870</v>
      </c>
      <c r="J29" s="28" t="str">
        <f>INDEX(Product_Master!$B$2:$B$11,MATCH(C29,Product_Master!$A$2:$A$11,0))</f>
        <v>Jeans</v>
      </c>
      <c r="K29" s="28" t="str">
        <f>INDEX(Product_Master!$C$2:$C$11,MATCH(C29,Product_Master!$A$2:$A$11,0))</f>
        <v>Clothing</v>
      </c>
      <c r="L29" s="32">
        <f>INDEX(Product_Master!$D$2:$D$11,MATCH(C29,Product_Master!$A$2:$A$11,0))</f>
        <v>2200</v>
      </c>
      <c r="M29" s="28" t="str">
        <f>INDEX(Employee_Master!$B$2:$B$9,MATCH(D29,Employee_Master!$A$2:$A$9,0))</f>
        <v>Sana</v>
      </c>
      <c r="N29" s="28" t="str">
        <f>INDEX(Employee_Master!$C$2:$C$9,MATCH(D29,Employee_Master!$A$2:$A$9,0))</f>
        <v>Delhi</v>
      </c>
      <c r="O29" s="32">
        <f t="shared" si="0"/>
        <v>2200</v>
      </c>
      <c r="P29" s="32">
        <f t="shared" si="1"/>
        <v>330</v>
      </c>
      <c r="Q29" s="32">
        <f t="shared" si="2"/>
        <v>1870</v>
      </c>
      <c r="R29" s="32">
        <f>O29*INDEX(Assumptions!$B$5:$B$8,MATCH(K29,Assumptions!$A$5:$A$8,0))</f>
        <v>1100</v>
      </c>
      <c r="S29" s="32">
        <f t="shared" si="3"/>
        <v>770</v>
      </c>
      <c r="T29" s="33">
        <f t="shared" si="4"/>
        <v>0.41176470588235292</v>
      </c>
      <c r="U29" s="34">
        <f t="shared" si="5"/>
        <v>46113</v>
      </c>
      <c r="V29" s="32">
        <f t="shared" si="6"/>
        <v>0</v>
      </c>
      <c r="W29" s="28" t="str">
        <f t="shared" si="7"/>
        <v>Different</v>
      </c>
    </row>
    <row r="30" spans="1:23" x14ac:dyDescent="0.25">
      <c r="A30" s="28" t="s">
        <v>203</v>
      </c>
      <c r="B30" s="29">
        <v>46077</v>
      </c>
      <c r="C30" s="28" t="s">
        <v>170</v>
      </c>
      <c r="D30" s="28" t="s">
        <v>162</v>
      </c>
      <c r="E30" s="28" t="s">
        <v>95</v>
      </c>
      <c r="F30" s="28" t="s">
        <v>132</v>
      </c>
      <c r="G30" s="30">
        <v>8</v>
      </c>
      <c r="H30" s="31">
        <v>0.05</v>
      </c>
      <c r="I30" s="32">
        <v>9120</v>
      </c>
      <c r="J30" s="28" t="str">
        <f>INDEX(Product_Master!$B$2:$B$11,MATCH(C30,Product_Master!$A$2:$A$11,0))</f>
        <v>T-Shirt</v>
      </c>
      <c r="K30" s="28" t="str">
        <f>INDEX(Product_Master!$C$2:$C$11,MATCH(C30,Product_Master!$A$2:$A$11,0))</f>
        <v>Clothing</v>
      </c>
      <c r="L30" s="32">
        <f>INDEX(Product_Master!$D$2:$D$11,MATCH(C30,Product_Master!$A$2:$A$11,0))</f>
        <v>1200</v>
      </c>
      <c r="M30" s="28" t="str">
        <f>INDEX(Employee_Master!$B$2:$B$9,MATCH(D30,Employee_Master!$A$2:$A$9,0))</f>
        <v>Priya</v>
      </c>
      <c r="N30" s="28" t="str">
        <f>INDEX(Employee_Master!$C$2:$C$9,MATCH(D30,Employee_Master!$A$2:$A$9,0))</f>
        <v>Delhi</v>
      </c>
      <c r="O30" s="32">
        <f t="shared" si="0"/>
        <v>9600</v>
      </c>
      <c r="P30" s="32">
        <f t="shared" si="1"/>
        <v>480</v>
      </c>
      <c r="Q30" s="32">
        <f t="shared" si="2"/>
        <v>9120</v>
      </c>
      <c r="R30" s="32">
        <f>O30*INDEX(Assumptions!$B$5:$B$8,MATCH(K30,Assumptions!$A$5:$A$8,0))</f>
        <v>4800</v>
      </c>
      <c r="S30" s="32">
        <f t="shared" si="3"/>
        <v>4320</v>
      </c>
      <c r="T30" s="33">
        <f t="shared" si="4"/>
        <v>0.47368421052631576</v>
      </c>
      <c r="U30" s="34">
        <f t="shared" si="5"/>
        <v>46054</v>
      </c>
      <c r="V30" s="32">
        <f t="shared" si="6"/>
        <v>0</v>
      </c>
      <c r="W30" s="28" t="str">
        <f t="shared" si="7"/>
        <v>Same</v>
      </c>
    </row>
    <row r="31" spans="1:23" x14ac:dyDescent="0.25">
      <c r="A31" s="28" t="s">
        <v>204</v>
      </c>
      <c r="B31" s="29">
        <v>46029</v>
      </c>
      <c r="C31" s="28" t="s">
        <v>177</v>
      </c>
      <c r="D31" s="28" t="s">
        <v>171</v>
      </c>
      <c r="E31" s="28" t="s">
        <v>95</v>
      </c>
      <c r="F31" s="28" t="s">
        <v>135</v>
      </c>
      <c r="G31" s="30">
        <v>8</v>
      </c>
      <c r="H31" s="31">
        <v>0</v>
      </c>
      <c r="I31" s="32">
        <v>20000</v>
      </c>
      <c r="J31" s="28" t="str">
        <f>INDEX(Product_Master!$B$2:$B$11,MATCH(C31,Product_Master!$A$2:$A$11,0))</f>
        <v>Keyboard</v>
      </c>
      <c r="K31" s="28" t="str">
        <f>INDEX(Product_Master!$C$2:$C$11,MATCH(C31,Product_Master!$A$2:$A$11,0))</f>
        <v>Electronics</v>
      </c>
      <c r="L31" s="32">
        <f>INDEX(Product_Master!$D$2:$D$11,MATCH(C31,Product_Master!$A$2:$A$11,0))</f>
        <v>2500</v>
      </c>
      <c r="M31" s="28" t="str">
        <f>INDEX(Employee_Master!$B$2:$B$9,MATCH(D31,Employee_Master!$A$2:$A$9,0))</f>
        <v>Hamza</v>
      </c>
      <c r="N31" s="28" t="str">
        <f>INDEX(Employee_Master!$C$2:$C$9,MATCH(D31,Employee_Master!$A$2:$A$9,0))</f>
        <v>Delhi</v>
      </c>
      <c r="O31" s="32">
        <f t="shared" si="0"/>
        <v>20000</v>
      </c>
      <c r="P31" s="32">
        <f t="shared" si="1"/>
        <v>0</v>
      </c>
      <c r="Q31" s="32">
        <f t="shared" si="2"/>
        <v>20000</v>
      </c>
      <c r="R31" s="32">
        <f>O31*INDEX(Assumptions!$B$5:$B$8,MATCH(K31,Assumptions!$A$5:$A$8,0))</f>
        <v>15000</v>
      </c>
      <c r="S31" s="32">
        <f t="shared" si="3"/>
        <v>5000</v>
      </c>
      <c r="T31" s="33">
        <f t="shared" si="4"/>
        <v>0.25</v>
      </c>
      <c r="U31" s="34">
        <f t="shared" si="5"/>
        <v>46023</v>
      </c>
      <c r="V31" s="32">
        <f t="shared" si="6"/>
        <v>0</v>
      </c>
      <c r="W31" s="28" t="str">
        <f t="shared" si="7"/>
        <v>Same</v>
      </c>
    </row>
    <row r="32" spans="1:23" x14ac:dyDescent="0.25">
      <c r="A32" s="28" t="s">
        <v>205</v>
      </c>
      <c r="B32" s="29">
        <v>46084</v>
      </c>
      <c r="C32" s="28" t="s">
        <v>161</v>
      </c>
      <c r="D32" s="28" t="s">
        <v>159</v>
      </c>
      <c r="E32" s="28" t="s">
        <v>96</v>
      </c>
      <c r="F32" s="28" t="s">
        <v>132</v>
      </c>
      <c r="G32" s="30">
        <v>7</v>
      </c>
      <c r="H32" s="31">
        <v>0.15</v>
      </c>
      <c r="I32" s="32">
        <v>20825</v>
      </c>
      <c r="J32" s="28" t="str">
        <f>INDEX(Product_Master!$B$2:$B$11,MATCH(C32,Product_Master!$A$2:$A$11,0))</f>
        <v>Headphones</v>
      </c>
      <c r="K32" s="28" t="str">
        <f>INDEX(Product_Master!$C$2:$C$11,MATCH(C32,Product_Master!$A$2:$A$11,0))</f>
        <v>Electronics</v>
      </c>
      <c r="L32" s="32">
        <f>INDEX(Product_Master!$D$2:$D$11,MATCH(C32,Product_Master!$A$2:$A$11,0))</f>
        <v>3500</v>
      </c>
      <c r="M32" s="28" t="str">
        <f>INDEX(Employee_Master!$B$2:$B$9,MATCH(D32,Employee_Master!$A$2:$A$9,0))</f>
        <v>Rahul</v>
      </c>
      <c r="N32" s="28" t="str">
        <f>INDEX(Employee_Master!$C$2:$C$9,MATCH(D32,Employee_Master!$A$2:$A$9,0))</f>
        <v>Lucknow</v>
      </c>
      <c r="O32" s="32">
        <f t="shared" si="0"/>
        <v>24500</v>
      </c>
      <c r="P32" s="32">
        <f t="shared" si="1"/>
        <v>3675</v>
      </c>
      <c r="Q32" s="32">
        <f t="shared" si="2"/>
        <v>20825</v>
      </c>
      <c r="R32" s="32">
        <f>O32*INDEX(Assumptions!$B$5:$B$8,MATCH(K32,Assumptions!$A$5:$A$8,0))</f>
        <v>18375</v>
      </c>
      <c r="S32" s="32">
        <f t="shared" si="3"/>
        <v>2450</v>
      </c>
      <c r="T32" s="33">
        <f t="shared" si="4"/>
        <v>0.11764705882352941</v>
      </c>
      <c r="U32" s="34">
        <f t="shared" si="5"/>
        <v>46082</v>
      </c>
      <c r="V32" s="32">
        <f t="shared" si="6"/>
        <v>0</v>
      </c>
      <c r="W32" s="28" t="str">
        <f t="shared" si="7"/>
        <v>Same</v>
      </c>
    </row>
    <row r="33" spans="1:23" x14ac:dyDescent="0.25">
      <c r="A33" s="28" t="s">
        <v>206</v>
      </c>
      <c r="B33" s="29">
        <v>46056</v>
      </c>
      <c r="C33" s="28" t="s">
        <v>164</v>
      </c>
      <c r="D33" s="28" t="s">
        <v>185</v>
      </c>
      <c r="E33" s="28" t="s">
        <v>96</v>
      </c>
      <c r="F33" s="28" t="s">
        <v>134</v>
      </c>
      <c r="G33" s="30">
        <v>1</v>
      </c>
      <c r="H33" s="31">
        <v>0.15</v>
      </c>
      <c r="I33" s="32">
        <v>6375</v>
      </c>
      <c r="J33" s="28" t="str">
        <f>INDEX(Product_Master!$B$2:$B$11,MATCH(C33,Product_Master!$A$2:$A$11,0))</f>
        <v>Office Chair</v>
      </c>
      <c r="K33" s="28" t="str">
        <f>INDEX(Product_Master!$C$2:$C$11,MATCH(C33,Product_Master!$A$2:$A$11,0))</f>
        <v>Furniture</v>
      </c>
      <c r="L33" s="32">
        <f>INDEX(Product_Master!$D$2:$D$11,MATCH(C33,Product_Master!$A$2:$A$11,0))</f>
        <v>7500</v>
      </c>
      <c r="M33" s="28" t="str">
        <f>INDEX(Employee_Master!$B$2:$B$9,MATCH(D33,Employee_Master!$A$2:$A$9,0))</f>
        <v>Kabir</v>
      </c>
      <c r="N33" s="28" t="str">
        <f>INDEX(Employee_Master!$C$2:$C$9,MATCH(D33,Employee_Master!$A$2:$A$9,0))</f>
        <v>Lucknow</v>
      </c>
      <c r="O33" s="32">
        <f t="shared" si="0"/>
        <v>7500</v>
      </c>
      <c r="P33" s="32">
        <f t="shared" si="1"/>
        <v>1125</v>
      </c>
      <c r="Q33" s="32">
        <f t="shared" si="2"/>
        <v>6375</v>
      </c>
      <c r="R33" s="32">
        <f>O33*INDEX(Assumptions!$B$5:$B$8,MATCH(K33,Assumptions!$A$5:$A$8,0))</f>
        <v>4875</v>
      </c>
      <c r="S33" s="32">
        <f t="shared" si="3"/>
        <v>1500</v>
      </c>
      <c r="T33" s="33">
        <f t="shared" si="4"/>
        <v>0.23529411764705882</v>
      </c>
      <c r="U33" s="34">
        <f t="shared" si="5"/>
        <v>46054</v>
      </c>
      <c r="V33" s="32">
        <f t="shared" si="6"/>
        <v>0</v>
      </c>
      <c r="W33" s="28" t="str">
        <f t="shared" si="7"/>
        <v>Same</v>
      </c>
    </row>
    <row r="34" spans="1:23" x14ac:dyDescent="0.25">
      <c r="A34" s="28" t="s">
        <v>207</v>
      </c>
      <c r="B34" s="29">
        <v>46060</v>
      </c>
      <c r="C34" s="28" t="s">
        <v>182</v>
      </c>
      <c r="D34" s="28" t="s">
        <v>171</v>
      </c>
      <c r="E34" s="28" t="s">
        <v>95</v>
      </c>
      <c r="F34" s="28" t="s">
        <v>134</v>
      </c>
      <c r="G34" s="30">
        <v>3</v>
      </c>
      <c r="H34" s="31">
        <v>0.05</v>
      </c>
      <c r="I34" s="32">
        <v>5130</v>
      </c>
      <c r="J34" s="28" t="str">
        <f>INDEX(Product_Master!$B$2:$B$11,MATCH(C34,Product_Master!$A$2:$A$11,0))</f>
        <v>Backpack</v>
      </c>
      <c r="K34" s="28" t="str">
        <f>INDEX(Product_Master!$C$2:$C$11,MATCH(C34,Product_Master!$A$2:$A$11,0))</f>
        <v>Accessories</v>
      </c>
      <c r="L34" s="32">
        <f>INDEX(Product_Master!$D$2:$D$11,MATCH(C34,Product_Master!$A$2:$A$11,0))</f>
        <v>1800</v>
      </c>
      <c r="M34" s="28" t="str">
        <f>INDEX(Employee_Master!$B$2:$B$9,MATCH(D34,Employee_Master!$A$2:$A$9,0))</f>
        <v>Hamza</v>
      </c>
      <c r="N34" s="28" t="str">
        <f>INDEX(Employee_Master!$C$2:$C$9,MATCH(D34,Employee_Master!$A$2:$A$9,0))</f>
        <v>Delhi</v>
      </c>
      <c r="O34" s="32">
        <f t="shared" ref="O34:O65" si="8">G34*L34</f>
        <v>5400</v>
      </c>
      <c r="P34" s="32">
        <f t="shared" ref="P34:P65" si="9">O34*H34</f>
        <v>270</v>
      </c>
      <c r="Q34" s="32">
        <f t="shared" ref="Q34:Q65" si="10">O34-P34</f>
        <v>5130</v>
      </c>
      <c r="R34" s="32">
        <f>O34*INDEX(Assumptions!$B$5:$B$8,MATCH(K34,Assumptions!$A$5:$A$8,0))</f>
        <v>2970.0000000000005</v>
      </c>
      <c r="S34" s="32">
        <f t="shared" ref="S34:S65" si="11">Q34-R34</f>
        <v>2159.9999999999995</v>
      </c>
      <c r="T34" s="33">
        <f t="shared" ref="T34:T65" si="12">IF(Q34=0,0,S34/Q34)</f>
        <v>0.42105263157894729</v>
      </c>
      <c r="U34" s="34">
        <f t="shared" ref="U34:U65" si="13">DATE(YEAR(B34),MONTH(B34),1)</f>
        <v>46054</v>
      </c>
      <c r="V34" s="32">
        <f t="shared" ref="V34:V65" si="14">Q34-I34</f>
        <v>0</v>
      </c>
      <c r="W34" s="28" t="str">
        <f t="shared" ref="W34:W65" si="15">IF(E34=N34,"Same","Different")</f>
        <v>Same</v>
      </c>
    </row>
    <row r="35" spans="1:23" x14ac:dyDescent="0.25">
      <c r="A35" s="28" t="s">
        <v>208</v>
      </c>
      <c r="B35" s="29">
        <v>46029</v>
      </c>
      <c r="C35" s="28" t="s">
        <v>164</v>
      </c>
      <c r="D35" s="28" t="s">
        <v>159</v>
      </c>
      <c r="E35" s="28" t="s">
        <v>96</v>
      </c>
      <c r="F35" s="28" t="s">
        <v>135</v>
      </c>
      <c r="G35" s="30">
        <v>6</v>
      </c>
      <c r="H35" s="31">
        <v>0</v>
      </c>
      <c r="I35" s="32">
        <v>45000</v>
      </c>
      <c r="J35" s="28" t="str">
        <f>INDEX(Product_Master!$B$2:$B$11,MATCH(C35,Product_Master!$A$2:$A$11,0))</f>
        <v>Office Chair</v>
      </c>
      <c r="K35" s="28" t="str">
        <f>INDEX(Product_Master!$C$2:$C$11,MATCH(C35,Product_Master!$A$2:$A$11,0))</f>
        <v>Furniture</v>
      </c>
      <c r="L35" s="32">
        <f>INDEX(Product_Master!$D$2:$D$11,MATCH(C35,Product_Master!$A$2:$A$11,0))</f>
        <v>7500</v>
      </c>
      <c r="M35" s="28" t="str">
        <f>INDEX(Employee_Master!$B$2:$B$9,MATCH(D35,Employee_Master!$A$2:$A$9,0))</f>
        <v>Rahul</v>
      </c>
      <c r="N35" s="28" t="str">
        <f>INDEX(Employee_Master!$C$2:$C$9,MATCH(D35,Employee_Master!$A$2:$A$9,0))</f>
        <v>Lucknow</v>
      </c>
      <c r="O35" s="32">
        <f t="shared" si="8"/>
        <v>45000</v>
      </c>
      <c r="P35" s="32">
        <f t="shared" si="9"/>
        <v>0</v>
      </c>
      <c r="Q35" s="32">
        <f t="shared" si="10"/>
        <v>45000</v>
      </c>
      <c r="R35" s="32">
        <f>O35*INDEX(Assumptions!$B$5:$B$8,MATCH(K35,Assumptions!$A$5:$A$8,0))</f>
        <v>29250</v>
      </c>
      <c r="S35" s="32">
        <f t="shared" si="11"/>
        <v>15750</v>
      </c>
      <c r="T35" s="33">
        <f t="shared" si="12"/>
        <v>0.35</v>
      </c>
      <c r="U35" s="34">
        <f t="shared" si="13"/>
        <v>46023</v>
      </c>
      <c r="V35" s="32">
        <f t="shared" si="14"/>
        <v>0</v>
      </c>
      <c r="W35" s="28" t="str">
        <f t="shared" si="15"/>
        <v>Same</v>
      </c>
    </row>
    <row r="36" spans="1:23" x14ac:dyDescent="0.25">
      <c r="A36" s="28" t="s">
        <v>209</v>
      </c>
      <c r="B36" s="29">
        <v>46131</v>
      </c>
      <c r="C36" s="28" t="s">
        <v>184</v>
      </c>
      <c r="D36" s="28" t="s">
        <v>190</v>
      </c>
      <c r="E36" s="28" t="s">
        <v>95</v>
      </c>
      <c r="F36" s="28" t="s">
        <v>132</v>
      </c>
      <c r="G36" s="30">
        <v>1</v>
      </c>
      <c r="H36" s="31">
        <v>0</v>
      </c>
      <c r="I36" s="32">
        <v>2200</v>
      </c>
      <c r="J36" s="28" t="str">
        <f>INDEX(Product_Master!$B$2:$B$11,MATCH(C36,Product_Master!$A$2:$A$11,0))</f>
        <v>Table Lamp</v>
      </c>
      <c r="K36" s="28" t="str">
        <f>INDEX(Product_Master!$C$2:$C$11,MATCH(C36,Product_Master!$A$2:$A$11,0))</f>
        <v>Furniture</v>
      </c>
      <c r="L36" s="32">
        <f>INDEX(Product_Master!$D$2:$D$11,MATCH(C36,Product_Master!$A$2:$A$11,0))</f>
        <v>2200</v>
      </c>
      <c r="M36" s="28" t="str">
        <f>INDEX(Employee_Master!$B$2:$B$9,MATCH(D36,Employee_Master!$A$2:$A$9,0))</f>
        <v>Sana</v>
      </c>
      <c r="N36" s="28" t="str">
        <f>INDEX(Employee_Master!$C$2:$C$9,MATCH(D36,Employee_Master!$A$2:$A$9,0))</f>
        <v>Delhi</v>
      </c>
      <c r="O36" s="32">
        <f t="shared" si="8"/>
        <v>2200</v>
      </c>
      <c r="P36" s="32">
        <f t="shared" si="9"/>
        <v>0</v>
      </c>
      <c r="Q36" s="32">
        <f t="shared" si="10"/>
        <v>2200</v>
      </c>
      <c r="R36" s="32">
        <f>O36*INDEX(Assumptions!$B$5:$B$8,MATCH(K36,Assumptions!$A$5:$A$8,0))</f>
        <v>1430</v>
      </c>
      <c r="S36" s="32">
        <f t="shared" si="11"/>
        <v>770</v>
      </c>
      <c r="T36" s="33">
        <f t="shared" si="12"/>
        <v>0.35</v>
      </c>
      <c r="U36" s="34">
        <f t="shared" si="13"/>
        <v>46113</v>
      </c>
      <c r="V36" s="32">
        <f t="shared" si="14"/>
        <v>0</v>
      </c>
      <c r="W36" s="28" t="str">
        <f t="shared" si="15"/>
        <v>Same</v>
      </c>
    </row>
    <row r="37" spans="1:23" x14ac:dyDescent="0.25">
      <c r="A37" s="28" t="s">
        <v>210</v>
      </c>
      <c r="B37" s="29">
        <v>46107</v>
      </c>
      <c r="C37" s="28" t="s">
        <v>184</v>
      </c>
      <c r="D37" s="28" t="s">
        <v>178</v>
      </c>
      <c r="E37" s="28" t="s">
        <v>96</v>
      </c>
      <c r="F37" s="28" t="s">
        <v>135</v>
      </c>
      <c r="G37" s="30">
        <v>2</v>
      </c>
      <c r="H37" s="31">
        <v>0.15</v>
      </c>
      <c r="I37" s="32">
        <v>3740</v>
      </c>
      <c r="J37" s="28" t="str">
        <f>INDEX(Product_Master!$B$2:$B$11,MATCH(C37,Product_Master!$A$2:$A$11,0))</f>
        <v>Table Lamp</v>
      </c>
      <c r="K37" s="28" t="str">
        <f>INDEX(Product_Master!$C$2:$C$11,MATCH(C37,Product_Master!$A$2:$A$11,0))</f>
        <v>Furniture</v>
      </c>
      <c r="L37" s="32">
        <f>INDEX(Product_Master!$D$2:$D$11,MATCH(C37,Product_Master!$A$2:$A$11,0))</f>
        <v>2200</v>
      </c>
      <c r="M37" s="28" t="str">
        <f>INDEX(Employee_Master!$B$2:$B$9,MATCH(D37,Employee_Master!$A$2:$A$9,0))</f>
        <v>Sara</v>
      </c>
      <c r="N37" s="28" t="str">
        <f>INDEX(Employee_Master!$C$2:$C$9,MATCH(D37,Employee_Master!$A$2:$A$9,0))</f>
        <v>Lucknow</v>
      </c>
      <c r="O37" s="32">
        <f t="shared" si="8"/>
        <v>4400</v>
      </c>
      <c r="P37" s="32">
        <f t="shared" si="9"/>
        <v>660</v>
      </c>
      <c r="Q37" s="32">
        <f t="shared" si="10"/>
        <v>3740</v>
      </c>
      <c r="R37" s="32">
        <f>O37*INDEX(Assumptions!$B$5:$B$8,MATCH(K37,Assumptions!$A$5:$A$8,0))</f>
        <v>2860</v>
      </c>
      <c r="S37" s="32">
        <f t="shared" si="11"/>
        <v>880</v>
      </c>
      <c r="T37" s="33">
        <f t="shared" si="12"/>
        <v>0.23529411764705882</v>
      </c>
      <c r="U37" s="34">
        <f t="shared" si="13"/>
        <v>46082</v>
      </c>
      <c r="V37" s="32">
        <f t="shared" si="14"/>
        <v>0</v>
      </c>
      <c r="W37" s="28" t="str">
        <f t="shared" si="15"/>
        <v>Same</v>
      </c>
    </row>
    <row r="38" spans="1:23" x14ac:dyDescent="0.25">
      <c r="A38" s="28" t="s">
        <v>211</v>
      </c>
      <c r="B38" s="29">
        <v>46073</v>
      </c>
      <c r="C38" s="28" t="s">
        <v>184</v>
      </c>
      <c r="D38" s="28" t="s">
        <v>168</v>
      </c>
      <c r="E38" s="28" t="s">
        <v>96</v>
      </c>
      <c r="F38" s="28" t="s">
        <v>133</v>
      </c>
      <c r="G38" s="30">
        <v>4</v>
      </c>
      <c r="H38" s="31">
        <v>0.1</v>
      </c>
      <c r="I38" s="32">
        <v>7920</v>
      </c>
      <c r="J38" s="28" t="str">
        <f>INDEX(Product_Master!$B$2:$B$11,MATCH(C38,Product_Master!$A$2:$A$11,0))</f>
        <v>Table Lamp</v>
      </c>
      <c r="K38" s="28" t="str">
        <f>INDEX(Product_Master!$C$2:$C$11,MATCH(C38,Product_Master!$A$2:$A$11,0))</f>
        <v>Furniture</v>
      </c>
      <c r="L38" s="32">
        <f>INDEX(Product_Master!$D$2:$D$11,MATCH(C38,Product_Master!$A$2:$A$11,0))</f>
        <v>2200</v>
      </c>
      <c r="M38" s="28" t="str">
        <f>INDEX(Employee_Master!$B$2:$B$9,MATCH(D38,Employee_Master!$A$2:$A$9,0))</f>
        <v>Ayesha</v>
      </c>
      <c r="N38" s="28" t="str">
        <f>INDEX(Employee_Master!$C$2:$C$9,MATCH(D38,Employee_Master!$A$2:$A$9,0))</f>
        <v>Mumbai</v>
      </c>
      <c r="O38" s="32">
        <f t="shared" si="8"/>
        <v>8800</v>
      </c>
      <c r="P38" s="32">
        <f t="shared" si="9"/>
        <v>880</v>
      </c>
      <c r="Q38" s="32">
        <f t="shared" si="10"/>
        <v>7920</v>
      </c>
      <c r="R38" s="32">
        <f>O38*INDEX(Assumptions!$B$5:$B$8,MATCH(K38,Assumptions!$A$5:$A$8,0))</f>
        <v>5720</v>
      </c>
      <c r="S38" s="32">
        <f t="shared" si="11"/>
        <v>2200</v>
      </c>
      <c r="T38" s="33">
        <f t="shared" si="12"/>
        <v>0.27777777777777779</v>
      </c>
      <c r="U38" s="34">
        <f t="shared" si="13"/>
        <v>46054</v>
      </c>
      <c r="V38" s="32">
        <f t="shared" si="14"/>
        <v>0</v>
      </c>
      <c r="W38" s="28" t="str">
        <f t="shared" si="15"/>
        <v>Different</v>
      </c>
    </row>
    <row r="39" spans="1:23" x14ac:dyDescent="0.25">
      <c r="A39" s="28" t="s">
        <v>212</v>
      </c>
      <c r="B39" s="29">
        <v>46102</v>
      </c>
      <c r="C39" s="28" t="s">
        <v>177</v>
      </c>
      <c r="D39" s="28" t="s">
        <v>171</v>
      </c>
      <c r="E39" s="28" t="s">
        <v>95</v>
      </c>
      <c r="F39" s="28" t="s">
        <v>135</v>
      </c>
      <c r="G39" s="30">
        <v>1</v>
      </c>
      <c r="H39" s="31">
        <v>0.15</v>
      </c>
      <c r="I39" s="32">
        <v>2125</v>
      </c>
      <c r="J39" s="28" t="str">
        <f>INDEX(Product_Master!$B$2:$B$11,MATCH(C39,Product_Master!$A$2:$A$11,0))</f>
        <v>Keyboard</v>
      </c>
      <c r="K39" s="28" t="str">
        <f>INDEX(Product_Master!$C$2:$C$11,MATCH(C39,Product_Master!$A$2:$A$11,0))</f>
        <v>Electronics</v>
      </c>
      <c r="L39" s="32">
        <f>INDEX(Product_Master!$D$2:$D$11,MATCH(C39,Product_Master!$A$2:$A$11,0))</f>
        <v>2500</v>
      </c>
      <c r="M39" s="28" t="str">
        <f>INDEX(Employee_Master!$B$2:$B$9,MATCH(D39,Employee_Master!$A$2:$A$9,0))</f>
        <v>Hamza</v>
      </c>
      <c r="N39" s="28" t="str">
        <f>INDEX(Employee_Master!$C$2:$C$9,MATCH(D39,Employee_Master!$A$2:$A$9,0))</f>
        <v>Delhi</v>
      </c>
      <c r="O39" s="32">
        <f t="shared" si="8"/>
        <v>2500</v>
      </c>
      <c r="P39" s="32">
        <f t="shared" si="9"/>
        <v>375</v>
      </c>
      <c r="Q39" s="32">
        <f t="shared" si="10"/>
        <v>2125</v>
      </c>
      <c r="R39" s="32">
        <f>O39*INDEX(Assumptions!$B$5:$B$8,MATCH(K39,Assumptions!$A$5:$A$8,0))</f>
        <v>1875</v>
      </c>
      <c r="S39" s="32">
        <f t="shared" si="11"/>
        <v>250</v>
      </c>
      <c r="T39" s="33">
        <f t="shared" si="12"/>
        <v>0.11764705882352941</v>
      </c>
      <c r="U39" s="34">
        <f t="shared" si="13"/>
        <v>46082</v>
      </c>
      <c r="V39" s="32">
        <f t="shared" si="14"/>
        <v>0</v>
      </c>
      <c r="W39" s="28" t="str">
        <f t="shared" si="15"/>
        <v>Same</v>
      </c>
    </row>
    <row r="40" spans="1:23" x14ac:dyDescent="0.25">
      <c r="A40" s="28" t="s">
        <v>213</v>
      </c>
      <c r="B40" s="29">
        <v>46142</v>
      </c>
      <c r="C40" s="28" t="s">
        <v>184</v>
      </c>
      <c r="D40" s="28" t="s">
        <v>162</v>
      </c>
      <c r="E40" s="28" t="s">
        <v>95</v>
      </c>
      <c r="F40" s="28" t="s">
        <v>132</v>
      </c>
      <c r="G40" s="30">
        <v>5</v>
      </c>
      <c r="H40" s="31">
        <v>0.05</v>
      </c>
      <c r="I40" s="32">
        <v>10450</v>
      </c>
      <c r="J40" s="28" t="str">
        <f>INDEX(Product_Master!$B$2:$B$11,MATCH(C40,Product_Master!$A$2:$A$11,0))</f>
        <v>Table Lamp</v>
      </c>
      <c r="K40" s="28" t="str">
        <f>INDEX(Product_Master!$C$2:$C$11,MATCH(C40,Product_Master!$A$2:$A$11,0))</f>
        <v>Furniture</v>
      </c>
      <c r="L40" s="32">
        <f>INDEX(Product_Master!$D$2:$D$11,MATCH(C40,Product_Master!$A$2:$A$11,0))</f>
        <v>2200</v>
      </c>
      <c r="M40" s="28" t="str">
        <f>INDEX(Employee_Master!$B$2:$B$9,MATCH(D40,Employee_Master!$A$2:$A$9,0))</f>
        <v>Priya</v>
      </c>
      <c r="N40" s="28" t="str">
        <f>INDEX(Employee_Master!$C$2:$C$9,MATCH(D40,Employee_Master!$A$2:$A$9,0))</f>
        <v>Delhi</v>
      </c>
      <c r="O40" s="32">
        <f t="shared" si="8"/>
        <v>11000</v>
      </c>
      <c r="P40" s="32">
        <f t="shared" si="9"/>
        <v>550</v>
      </c>
      <c r="Q40" s="32">
        <f t="shared" si="10"/>
        <v>10450</v>
      </c>
      <c r="R40" s="32">
        <f>O40*INDEX(Assumptions!$B$5:$B$8,MATCH(K40,Assumptions!$A$5:$A$8,0))</f>
        <v>7150</v>
      </c>
      <c r="S40" s="32">
        <f t="shared" si="11"/>
        <v>3300</v>
      </c>
      <c r="T40" s="33">
        <f t="shared" si="12"/>
        <v>0.31578947368421051</v>
      </c>
      <c r="U40" s="34">
        <f t="shared" si="13"/>
        <v>46113</v>
      </c>
      <c r="V40" s="32">
        <f t="shared" si="14"/>
        <v>0</v>
      </c>
      <c r="W40" s="28" t="str">
        <f t="shared" si="15"/>
        <v>Same</v>
      </c>
    </row>
    <row r="41" spans="1:23" x14ac:dyDescent="0.25">
      <c r="A41" s="28" t="s">
        <v>214</v>
      </c>
      <c r="B41" s="29">
        <v>46129</v>
      </c>
      <c r="C41" s="28" t="s">
        <v>170</v>
      </c>
      <c r="D41" s="28" t="s">
        <v>162</v>
      </c>
      <c r="E41" s="28" t="s">
        <v>95</v>
      </c>
      <c r="F41" s="28" t="s">
        <v>133</v>
      </c>
      <c r="G41" s="30">
        <v>3</v>
      </c>
      <c r="H41" s="31">
        <v>0.15</v>
      </c>
      <c r="I41" s="32">
        <v>3060</v>
      </c>
      <c r="J41" s="28" t="str">
        <f>INDEX(Product_Master!$B$2:$B$11,MATCH(C41,Product_Master!$A$2:$A$11,0))</f>
        <v>T-Shirt</v>
      </c>
      <c r="K41" s="28" t="str">
        <f>INDEX(Product_Master!$C$2:$C$11,MATCH(C41,Product_Master!$A$2:$A$11,0))</f>
        <v>Clothing</v>
      </c>
      <c r="L41" s="32">
        <f>INDEX(Product_Master!$D$2:$D$11,MATCH(C41,Product_Master!$A$2:$A$11,0))</f>
        <v>1200</v>
      </c>
      <c r="M41" s="28" t="str">
        <f>INDEX(Employee_Master!$B$2:$B$9,MATCH(D41,Employee_Master!$A$2:$A$9,0))</f>
        <v>Priya</v>
      </c>
      <c r="N41" s="28" t="str">
        <f>INDEX(Employee_Master!$C$2:$C$9,MATCH(D41,Employee_Master!$A$2:$A$9,0))</f>
        <v>Delhi</v>
      </c>
      <c r="O41" s="32">
        <f t="shared" si="8"/>
        <v>3600</v>
      </c>
      <c r="P41" s="32">
        <f t="shared" si="9"/>
        <v>540</v>
      </c>
      <c r="Q41" s="32">
        <f t="shared" si="10"/>
        <v>3060</v>
      </c>
      <c r="R41" s="32">
        <f>O41*INDEX(Assumptions!$B$5:$B$8,MATCH(K41,Assumptions!$A$5:$A$8,0))</f>
        <v>1800</v>
      </c>
      <c r="S41" s="32">
        <f t="shared" si="11"/>
        <v>1260</v>
      </c>
      <c r="T41" s="33">
        <f t="shared" si="12"/>
        <v>0.41176470588235292</v>
      </c>
      <c r="U41" s="34">
        <f t="shared" si="13"/>
        <v>46113</v>
      </c>
      <c r="V41" s="32">
        <f t="shared" si="14"/>
        <v>0</v>
      </c>
      <c r="W41" s="28" t="str">
        <f t="shared" si="15"/>
        <v>Same</v>
      </c>
    </row>
    <row r="42" spans="1:23" x14ac:dyDescent="0.25">
      <c r="A42" s="28" t="s">
        <v>215</v>
      </c>
      <c r="B42" s="29">
        <v>46135</v>
      </c>
      <c r="C42" s="28" t="s">
        <v>161</v>
      </c>
      <c r="D42" s="28" t="s">
        <v>171</v>
      </c>
      <c r="E42" s="28" t="s">
        <v>95</v>
      </c>
      <c r="F42" s="28" t="s">
        <v>135</v>
      </c>
      <c r="G42" s="30">
        <v>5</v>
      </c>
      <c r="H42" s="31">
        <v>0</v>
      </c>
      <c r="I42" s="32">
        <v>17500</v>
      </c>
      <c r="J42" s="28" t="str">
        <f>INDEX(Product_Master!$B$2:$B$11,MATCH(C42,Product_Master!$A$2:$A$11,0))</f>
        <v>Headphones</v>
      </c>
      <c r="K42" s="28" t="str">
        <f>INDEX(Product_Master!$C$2:$C$11,MATCH(C42,Product_Master!$A$2:$A$11,0))</f>
        <v>Electronics</v>
      </c>
      <c r="L42" s="32">
        <f>INDEX(Product_Master!$D$2:$D$11,MATCH(C42,Product_Master!$A$2:$A$11,0))</f>
        <v>3500</v>
      </c>
      <c r="M42" s="28" t="str">
        <f>INDEX(Employee_Master!$B$2:$B$9,MATCH(D42,Employee_Master!$A$2:$A$9,0))</f>
        <v>Hamza</v>
      </c>
      <c r="N42" s="28" t="str">
        <f>INDEX(Employee_Master!$C$2:$C$9,MATCH(D42,Employee_Master!$A$2:$A$9,0))</f>
        <v>Delhi</v>
      </c>
      <c r="O42" s="32">
        <f t="shared" si="8"/>
        <v>17500</v>
      </c>
      <c r="P42" s="32">
        <f t="shared" si="9"/>
        <v>0</v>
      </c>
      <c r="Q42" s="32">
        <f t="shared" si="10"/>
        <v>17500</v>
      </c>
      <c r="R42" s="32">
        <f>O42*INDEX(Assumptions!$B$5:$B$8,MATCH(K42,Assumptions!$A$5:$A$8,0))</f>
        <v>13125</v>
      </c>
      <c r="S42" s="32">
        <f t="shared" si="11"/>
        <v>4375</v>
      </c>
      <c r="T42" s="33">
        <f t="shared" si="12"/>
        <v>0.25</v>
      </c>
      <c r="U42" s="34">
        <f t="shared" si="13"/>
        <v>46113</v>
      </c>
      <c r="V42" s="32">
        <f t="shared" si="14"/>
        <v>0</v>
      </c>
      <c r="W42" s="28" t="str">
        <f t="shared" si="15"/>
        <v>Same</v>
      </c>
    </row>
    <row r="43" spans="1:23" x14ac:dyDescent="0.25">
      <c r="A43" s="28" t="s">
        <v>216</v>
      </c>
      <c r="B43" s="29">
        <v>46059</v>
      </c>
      <c r="C43" s="28" t="s">
        <v>177</v>
      </c>
      <c r="D43" s="28" t="s">
        <v>171</v>
      </c>
      <c r="E43" s="28" t="s">
        <v>95</v>
      </c>
      <c r="F43" s="28" t="s">
        <v>135</v>
      </c>
      <c r="G43" s="30">
        <v>3</v>
      </c>
      <c r="H43" s="31">
        <v>0.1</v>
      </c>
      <c r="I43" s="32">
        <v>6750</v>
      </c>
      <c r="J43" s="28" t="str">
        <f>INDEX(Product_Master!$B$2:$B$11,MATCH(C43,Product_Master!$A$2:$A$11,0))</f>
        <v>Keyboard</v>
      </c>
      <c r="K43" s="28" t="str">
        <f>INDEX(Product_Master!$C$2:$C$11,MATCH(C43,Product_Master!$A$2:$A$11,0))</f>
        <v>Electronics</v>
      </c>
      <c r="L43" s="32">
        <f>INDEX(Product_Master!$D$2:$D$11,MATCH(C43,Product_Master!$A$2:$A$11,0))</f>
        <v>2500</v>
      </c>
      <c r="M43" s="28" t="str">
        <f>INDEX(Employee_Master!$B$2:$B$9,MATCH(D43,Employee_Master!$A$2:$A$9,0))</f>
        <v>Hamza</v>
      </c>
      <c r="N43" s="28" t="str">
        <f>INDEX(Employee_Master!$C$2:$C$9,MATCH(D43,Employee_Master!$A$2:$A$9,0))</f>
        <v>Delhi</v>
      </c>
      <c r="O43" s="32">
        <f t="shared" si="8"/>
        <v>7500</v>
      </c>
      <c r="P43" s="32">
        <f t="shared" si="9"/>
        <v>750</v>
      </c>
      <c r="Q43" s="32">
        <f t="shared" si="10"/>
        <v>6750</v>
      </c>
      <c r="R43" s="32">
        <f>O43*INDEX(Assumptions!$B$5:$B$8,MATCH(K43,Assumptions!$A$5:$A$8,0))</f>
        <v>5625</v>
      </c>
      <c r="S43" s="32">
        <f t="shared" si="11"/>
        <v>1125</v>
      </c>
      <c r="T43" s="33">
        <f t="shared" si="12"/>
        <v>0.16666666666666666</v>
      </c>
      <c r="U43" s="34">
        <f t="shared" si="13"/>
        <v>46054</v>
      </c>
      <c r="V43" s="32">
        <f t="shared" si="14"/>
        <v>0</v>
      </c>
      <c r="W43" s="28" t="str">
        <f t="shared" si="15"/>
        <v>Same</v>
      </c>
    </row>
    <row r="44" spans="1:23" x14ac:dyDescent="0.25">
      <c r="A44" s="28" t="s">
        <v>217</v>
      </c>
      <c r="B44" s="29">
        <v>46055</v>
      </c>
      <c r="C44" s="28" t="s">
        <v>184</v>
      </c>
      <c r="D44" s="28" t="s">
        <v>178</v>
      </c>
      <c r="E44" s="28" t="s">
        <v>96</v>
      </c>
      <c r="F44" s="28" t="s">
        <v>132</v>
      </c>
      <c r="G44" s="30">
        <v>5</v>
      </c>
      <c r="H44" s="31">
        <v>0.15</v>
      </c>
      <c r="I44" s="32">
        <v>9350</v>
      </c>
      <c r="J44" s="28" t="str">
        <f>INDEX(Product_Master!$B$2:$B$11,MATCH(C44,Product_Master!$A$2:$A$11,0))</f>
        <v>Table Lamp</v>
      </c>
      <c r="K44" s="28" t="str">
        <f>INDEX(Product_Master!$C$2:$C$11,MATCH(C44,Product_Master!$A$2:$A$11,0))</f>
        <v>Furniture</v>
      </c>
      <c r="L44" s="32">
        <f>INDEX(Product_Master!$D$2:$D$11,MATCH(C44,Product_Master!$A$2:$A$11,0))</f>
        <v>2200</v>
      </c>
      <c r="M44" s="28" t="str">
        <f>INDEX(Employee_Master!$B$2:$B$9,MATCH(D44,Employee_Master!$A$2:$A$9,0))</f>
        <v>Sara</v>
      </c>
      <c r="N44" s="28" t="str">
        <f>INDEX(Employee_Master!$C$2:$C$9,MATCH(D44,Employee_Master!$A$2:$A$9,0))</f>
        <v>Lucknow</v>
      </c>
      <c r="O44" s="32">
        <f t="shared" si="8"/>
        <v>11000</v>
      </c>
      <c r="P44" s="32">
        <f t="shared" si="9"/>
        <v>1650</v>
      </c>
      <c r="Q44" s="32">
        <f t="shared" si="10"/>
        <v>9350</v>
      </c>
      <c r="R44" s="32">
        <f>O44*INDEX(Assumptions!$B$5:$B$8,MATCH(K44,Assumptions!$A$5:$A$8,0))</f>
        <v>7150</v>
      </c>
      <c r="S44" s="32">
        <f t="shared" si="11"/>
        <v>2200</v>
      </c>
      <c r="T44" s="33">
        <f t="shared" si="12"/>
        <v>0.23529411764705882</v>
      </c>
      <c r="U44" s="34">
        <f t="shared" si="13"/>
        <v>46054</v>
      </c>
      <c r="V44" s="32">
        <f t="shared" si="14"/>
        <v>0</v>
      </c>
      <c r="W44" s="28" t="str">
        <f t="shared" si="15"/>
        <v>Same</v>
      </c>
    </row>
    <row r="45" spans="1:23" x14ac:dyDescent="0.25">
      <c r="A45" s="28" t="s">
        <v>218</v>
      </c>
      <c r="B45" s="29">
        <v>46065</v>
      </c>
      <c r="C45" s="28" t="s">
        <v>187</v>
      </c>
      <c r="D45" s="28" t="s">
        <v>162</v>
      </c>
      <c r="E45" s="28" t="s">
        <v>95</v>
      </c>
      <c r="F45" s="28" t="s">
        <v>133</v>
      </c>
      <c r="G45" s="30">
        <v>1</v>
      </c>
      <c r="H45" s="31">
        <v>0</v>
      </c>
      <c r="I45" s="32">
        <v>55000</v>
      </c>
      <c r="J45" s="28" t="str">
        <f>INDEX(Product_Master!$B$2:$B$11,MATCH(C45,Product_Master!$A$2:$A$11,0))</f>
        <v>Laptop</v>
      </c>
      <c r="K45" s="28" t="str">
        <f>INDEX(Product_Master!$C$2:$C$11,MATCH(C45,Product_Master!$A$2:$A$11,0))</f>
        <v>Electronics</v>
      </c>
      <c r="L45" s="32">
        <f>INDEX(Product_Master!$D$2:$D$11,MATCH(C45,Product_Master!$A$2:$A$11,0))</f>
        <v>55000</v>
      </c>
      <c r="M45" s="28" t="str">
        <f>INDEX(Employee_Master!$B$2:$B$9,MATCH(D45,Employee_Master!$A$2:$A$9,0))</f>
        <v>Priya</v>
      </c>
      <c r="N45" s="28" t="str">
        <f>INDEX(Employee_Master!$C$2:$C$9,MATCH(D45,Employee_Master!$A$2:$A$9,0))</f>
        <v>Delhi</v>
      </c>
      <c r="O45" s="32">
        <f t="shared" si="8"/>
        <v>55000</v>
      </c>
      <c r="P45" s="32">
        <f t="shared" si="9"/>
        <v>0</v>
      </c>
      <c r="Q45" s="32">
        <f t="shared" si="10"/>
        <v>55000</v>
      </c>
      <c r="R45" s="32">
        <f>O45*INDEX(Assumptions!$B$5:$B$8,MATCH(K45,Assumptions!$A$5:$A$8,0))</f>
        <v>41250</v>
      </c>
      <c r="S45" s="32">
        <f t="shared" si="11"/>
        <v>13750</v>
      </c>
      <c r="T45" s="33">
        <f t="shared" si="12"/>
        <v>0.25</v>
      </c>
      <c r="U45" s="34">
        <f t="shared" si="13"/>
        <v>46054</v>
      </c>
      <c r="V45" s="32">
        <f t="shared" si="14"/>
        <v>0</v>
      </c>
      <c r="W45" s="28" t="str">
        <f t="shared" si="15"/>
        <v>Same</v>
      </c>
    </row>
    <row r="46" spans="1:23" x14ac:dyDescent="0.25">
      <c r="A46" s="28" t="s">
        <v>219</v>
      </c>
      <c r="B46" s="29">
        <v>46037</v>
      </c>
      <c r="C46" s="28" t="s">
        <v>177</v>
      </c>
      <c r="D46" s="28" t="s">
        <v>171</v>
      </c>
      <c r="E46" s="28" t="s">
        <v>95</v>
      </c>
      <c r="F46" s="28" t="s">
        <v>134</v>
      </c>
      <c r="G46" s="30">
        <v>7</v>
      </c>
      <c r="H46" s="31">
        <v>0</v>
      </c>
      <c r="I46" s="32">
        <v>17500</v>
      </c>
      <c r="J46" s="28" t="str">
        <f>INDEX(Product_Master!$B$2:$B$11,MATCH(C46,Product_Master!$A$2:$A$11,0))</f>
        <v>Keyboard</v>
      </c>
      <c r="K46" s="28" t="str">
        <f>INDEX(Product_Master!$C$2:$C$11,MATCH(C46,Product_Master!$A$2:$A$11,0))</f>
        <v>Electronics</v>
      </c>
      <c r="L46" s="32">
        <f>INDEX(Product_Master!$D$2:$D$11,MATCH(C46,Product_Master!$A$2:$A$11,0))</f>
        <v>2500</v>
      </c>
      <c r="M46" s="28" t="str">
        <f>INDEX(Employee_Master!$B$2:$B$9,MATCH(D46,Employee_Master!$A$2:$A$9,0))</f>
        <v>Hamza</v>
      </c>
      <c r="N46" s="28" t="str">
        <f>INDEX(Employee_Master!$C$2:$C$9,MATCH(D46,Employee_Master!$A$2:$A$9,0))</f>
        <v>Delhi</v>
      </c>
      <c r="O46" s="32">
        <f t="shared" si="8"/>
        <v>17500</v>
      </c>
      <c r="P46" s="32">
        <f t="shared" si="9"/>
        <v>0</v>
      </c>
      <c r="Q46" s="32">
        <f t="shared" si="10"/>
        <v>17500</v>
      </c>
      <c r="R46" s="32">
        <f>O46*INDEX(Assumptions!$B$5:$B$8,MATCH(K46,Assumptions!$A$5:$A$8,0))</f>
        <v>13125</v>
      </c>
      <c r="S46" s="32">
        <f t="shared" si="11"/>
        <v>4375</v>
      </c>
      <c r="T46" s="33">
        <f t="shared" si="12"/>
        <v>0.25</v>
      </c>
      <c r="U46" s="34">
        <f t="shared" si="13"/>
        <v>46023</v>
      </c>
      <c r="V46" s="32">
        <f t="shared" si="14"/>
        <v>0</v>
      </c>
      <c r="W46" s="28" t="str">
        <f t="shared" si="15"/>
        <v>Same</v>
      </c>
    </row>
    <row r="47" spans="1:23" x14ac:dyDescent="0.25">
      <c r="A47" s="28" t="s">
        <v>220</v>
      </c>
      <c r="B47" s="29">
        <v>46039</v>
      </c>
      <c r="C47" s="28" t="s">
        <v>158</v>
      </c>
      <c r="D47" s="28" t="s">
        <v>175</v>
      </c>
      <c r="E47" s="28" t="s">
        <v>97</v>
      </c>
      <c r="F47" s="28" t="s">
        <v>133</v>
      </c>
      <c r="G47" s="30">
        <v>3</v>
      </c>
      <c r="H47" s="31">
        <v>0.15</v>
      </c>
      <c r="I47" s="32">
        <v>45900</v>
      </c>
      <c r="J47" s="28" t="str">
        <f>INDEX(Product_Master!$B$2:$B$11,MATCH(C47,Product_Master!$A$2:$A$11,0))</f>
        <v>Monitor</v>
      </c>
      <c r="K47" s="28" t="str">
        <f>INDEX(Product_Master!$C$2:$C$11,MATCH(C47,Product_Master!$A$2:$A$11,0))</f>
        <v>Electronics</v>
      </c>
      <c r="L47" s="32">
        <f>INDEX(Product_Master!$D$2:$D$11,MATCH(C47,Product_Master!$A$2:$A$11,0))</f>
        <v>18000</v>
      </c>
      <c r="M47" s="28" t="str">
        <f>INDEX(Employee_Master!$B$2:$B$9,MATCH(D47,Employee_Master!$A$2:$A$9,0))</f>
        <v>Arman</v>
      </c>
      <c r="N47" s="28" t="str">
        <f>INDEX(Employee_Master!$C$2:$C$9,MATCH(D47,Employee_Master!$A$2:$A$9,0))</f>
        <v>Mumbai</v>
      </c>
      <c r="O47" s="32">
        <f t="shared" si="8"/>
        <v>54000</v>
      </c>
      <c r="P47" s="32">
        <f t="shared" si="9"/>
        <v>8100</v>
      </c>
      <c r="Q47" s="32">
        <f t="shared" si="10"/>
        <v>45900</v>
      </c>
      <c r="R47" s="32">
        <f>O47*INDEX(Assumptions!$B$5:$B$8,MATCH(K47,Assumptions!$A$5:$A$8,0))</f>
        <v>40500</v>
      </c>
      <c r="S47" s="32">
        <f t="shared" si="11"/>
        <v>5400</v>
      </c>
      <c r="T47" s="33">
        <f t="shared" si="12"/>
        <v>0.11764705882352941</v>
      </c>
      <c r="U47" s="34">
        <f t="shared" si="13"/>
        <v>46023</v>
      </c>
      <c r="V47" s="32">
        <f t="shared" si="14"/>
        <v>0</v>
      </c>
      <c r="W47" s="28" t="str">
        <f t="shared" si="15"/>
        <v>Same</v>
      </c>
    </row>
    <row r="48" spans="1:23" x14ac:dyDescent="0.25">
      <c r="A48" s="28" t="s">
        <v>221</v>
      </c>
      <c r="B48" s="29">
        <v>46110</v>
      </c>
      <c r="C48" s="28" t="s">
        <v>187</v>
      </c>
      <c r="D48" s="28" t="s">
        <v>171</v>
      </c>
      <c r="E48" s="28" t="s">
        <v>95</v>
      </c>
      <c r="F48" s="28" t="s">
        <v>135</v>
      </c>
      <c r="G48" s="30">
        <v>6</v>
      </c>
      <c r="H48" s="31">
        <v>0.05</v>
      </c>
      <c r="I48" s="32">
        <v>313500</v>
      </c>
      <c r="J48" s="28" t="str">
        <f>INDEX(Product_Master!$B$2:$B$11,MATCH(C48,Product_Master!$A$2:$A$11,0))</f>
        <v>Laptop</v>
      </c>
      <c r="K48" s="28" t="str">
        <f>INDEX(Product_Master!$C$2:$C$11,MATCH(C48,Product_Master!$A$2:$A$11,0))</f>
        <v>Electronics</v>
      </c>
      <c r="L48" s="32">
        <f>INDEX(Product_Master!$D$2:$D$11,MATCH(C48,Product_Master!$A$2:$A$11,0))</f>
        <v>55000</v>
      </c>
      <c r="M48" s="28" t="str">
        <f>INDEX(Employee_Master!$B$2:$B$9,MATCH(D48,Employee_Master!$A$2:$A$9,0))</f>
        <v>Hamza</v>
      </c>
      <c r="N48" s="28" t="str">
        <f>INDEX(Employee_Master!$C$2:$C$9,MATCH(D48,Employee_Master!$A$2:$A$9,0))</f>
        <v>Delhi</v>
      </c>
      <c r="O48" s="32">
        <f t="shared" si="8"/>
        <v>330000</v>
      </c>
      <c r="P48" s="32">
        <f t="shared" si="9"/>
        <v>16500</v>
      </c>
      <c r="Q48" s="32">
        <f t="shared" si="10"/>
        <v>313500</v>
      </c>
      <c r="R48" s="32">
        <f>O48*INDEX(Assumptions!$B$5:$B$8,MATCH(K48,Assumptions!$A$5:$A$8,0))</f>
        <v>247500</v>
      </c>
      <c r="S48" s="32">
        <f t="shared" si="11"/>
        <v>66000</v>
      </c>
      <c r="T48" s="33">
        <f t="shared" si="12"/>
        <v>0.21052631578947367</v>
      </c>
      <c r="U48" s="34">
        <f t="shared" si="13"/>
        <v>46082</v>
      </c>
      <c r="V48" s="32">
        <f t="shared" si="14"/>
        <v>0</v>
      </c>
      <c r="W48" s="28" t="str">
        <f t="shared" si="15"/>
        <v>Same</v>
      </c>
    </row>
    <row r="49" spans="1:23" x14ac:dyDescent="0.25">
      <c r="A49" s="28" t="s">
        <v>222</v>
      </c>
      <c r="B49" s="29">
        <v>46133</v>
      </c>
      <c r="C49" s="28" t="s">
        <v>164</v>
      </c>
      <c r="D49" s="28" t="s">
        <v>162</v>
      </c>
      <c r="E49" s="28" t="s">
        <v>95</v>
      </c>
      <c r="F49" s="28" t="s">
        <v>134</v>
      </c>
      <c r="G49" s="30">
        <v>3</v>
      </c>
      <c r="H49" s="31">
        <v>0.05</v>
      </c>
      <c r="I49" s="32">
        <v>21375</v>
      </c>
      <c r="J49" s="28" t="str">
        <f>INDEX(Product_Master!$B$2:$B$11,MATCH(C49,Product_Master!$A$2:$A$11,0))</f>
        <v>Office Chair</v>
      </c>
      <c r="K49" s="28" t="str">
        <f>INDEX(Product_Master!$C$2:$C$11,MATCH(C49,Product_Master!$A$2:$A$11,0))</f>
        <v>Furniture</v>
      </c>
      <c r="L49" s="32">
        <f>INDEX(Product_Master!$D$2:$D$11,MATCH(C49,Product_Master!$A$2:$A$11,0))</f>
        <v>7500</v>
      </c>
      <c r="M49" s="28" t="str">
        <f>INDEX(Employee_Master!$B$2:$B$9,MATCH(D49,Employee_Master!$A$2:$A$9,0))</f>
        <v>Priya</v>
      </c>
      <c r="N49" s="28" t="str">
        <f>INDEX(Employee_Master!$C$2:$C$9,MATCH(D49,Employee_Master!$A$2:$A$9,0))</f>
        <v>Delhi</v>
      </c>
      <c r="O49" s="32">
        <f t="shared" si="8"/>
        <v>22500</v>
      </c>
      <c r="P49" s="32">
        <f t="shared" si="9"/>
        <v>1125</v>
      </c>
      <c r="Q49" s="32">
        <f t="shared" si="10"/>
        <v>21375</v>
      </c>
      <c r="R49" s="32">
        <f>O49*INDEX(Assumptions!$B$5:$B$8,MATCH(K49,Assumptions!$A$5:$A$8,0))</f>
        <v>14625</v>
      </c>
      <c r="S49" s="32">
        <f t="shared" si="11"/>
        <v>6750</v>
      </c>
      <c r="T49" s="33">
        <f t="shared" si="12"/>
        <v>0.31578947368421051</v>
      </c>
      <c r="U49" s="34">
        <f t="shared" si="13"/>
        <v>46113</v>
      </c>
      <c r="V49" s="32">
        <f t="shared" si="14"/>
        <v>0</v>
      </c>
      <c r="W49" s="28" t="str">
        <f t="shared" si="15"/>
        <v>Same</v>
      </c>
    </row>
    <row r="50" spans="1:23" x14ac:dyDescent="0.25">
      <c r="A50" s="28" t="s">
        <v>223</v>
      </c>
      <c r="B50" s="29">
        <v>46125</v>
      </c>
      <c r="C50" s="28" t="s">
        <v>177</v>
      </c>
      <c r="D50" s="28" t="s">
        <v>175</v>
      </c>
      <c r="E50" s="28" t="s">
        <v>96</v>
      </c>
      <c r="F50" s="28" t="s">
        <v>132</v>
      </c>
      <c r="G50" s="30">
        <v>6</v>
      </c>
      <c r="H50" s="31">
        <v>0.15</v>
      </c>
      <c r="I50" s="32">
        <v>12750</v>
      </c>
      <c r="J50" s="28" t="str">
        <f>INDEX(Product_Master!$B$2:$B$11,MATCH(C50,Product_Master!$A$2:$A$11,0))</f>
        <v>Keyboard</v>
      </c>
      <c r="K50" s="28" t="str">
        <f>INDEX(Product_Master!$C$2:$C$11,MATCH(C50,Product_Master!$A$2:$A$11,0))</f>
        <v>Electronics</v>
      </c>
      <c r="L50" s="32">
        <f>INDEX(Product_Master!$D$2:$D$11,MATCH(C50,Product_Master!$A$2:$A$11,0))</f>
        <v>2500</v>
      </c>
      <c r="M50" s="28" t="str">
        <f>INDEX(Employee_Master!$B$2:$B$9,MATCH(D50,Employee_Master!$A$2:$A$9,0))</f>
        <v>Arman</v>
      </c>
      <c r="N50" s="28" t="str">
        <f>INDEX(Employee_Master!$C$2:$C$9,MATCH(D50,Employee_Master!$A$2:$A$9,0))</f>
        <v>Mumbai</v>
      </c>
      <c r="O50" s="32">
        <f t="shared" si="8"/>
        <v>15000</v>
      </c>
      <c r="P50" s="32">
        <f t="shared" si="9"/>
        <v>2250</v>
      </c>
      <c r="Q50" s="32">
        <f t="shared" si="10"/>
        <v>12750</v>
      </c>
      <c r="R50" s="32">
        <f>O50*INDEX(Assumptions!$B$5:$B$8,MATCH(K50,Assumptions!$A$5:$A$8,0))</f>
        <v>11250</v>
      </c>
      <c r="S50" s="32">
        <f t="shared" si="11"/>
        <v>1500</v>
      </c>
      <c r="T50" s="33">
        <f t="shared" si="12"/>
        <v>0.11764705882352941</v>
      </c>
      <c r="U50" s="34">
        <f t="shared" si="13"/>
        <v>46113</v>
      </c>
      <c r="V50" s="32">
        <f t="shared" si="14"/>
        <v>0</v>
      </c>
      <c r="W50" s="28" t="str">
        <f t="shared" si="15"/>
        <v>Different</v>
      </c>
    </row>
    <row r="51" spans="1:23" x14ac:dyDescent="0.25">
      <c r="A51" s="28" t="s">
        <v>224</v>
      </c>
      <c r="B51" s="29">
        <v>46132</v>
      </c>
      <c r="C51" s="28" t="s">
        <v>164</v>
      </c>
      <c r="D51" s="28" t="s">
        <v>171</v>
      </c>
      <c r="E51" s="28" t="s">
        <v>95</v>
      </c>
      <c r="F51" s="28" t="s">
        <v>135</v>
      </c>
      <c r="G51" s="30">
        <v>7</v>
      </c>
      <c r="H51" s="31">
        <v>0</v>
      </c>
      <c r="I51" s="32">
        <v>52500</v>
      </c>
      <c r="J51" s="28" t="str">
        <f>INDEX(Product_Master!$B$2:$B$11,MATCH(C51,Product_Master!$A$2:$A$11,0))</f>
        <v>Office Chair</v>
      </c>
      <c r="K51" s="28" t="str">
        <f>INDEX(Product_Master!$C$2:$C$11,MATCH(C51,Product_Master!$A$2:$A$11,0))</f>
        <v>Furniture</v>
      </c>
      <c r="L51" s="32">
        <f>INDEX(Product_Master!$D$2:$D$11,MATCH(C51,Product_Master!$A$2:$A$11,0))</f>
        <v>7500</v>
      </c>
      <c r="M51" s="28" t="str">
        <f>INDEX(Employee_Master!$B$2:$B$9,MATCH(D51,Employee_Master!$A$2:$A$9,0))</f>
        <v>Hamza</v>
      </c>
      <c r="N51" s="28" t="str">
        <f>INDEX(Employee_Master!$C$2:$C$9,MATCH(D51,Employee_Master!$A$2:$A$9,0))</f>
        <v>Delhi</v>
      </c>
      <c r="O51" s="32">
        <f t="shared" si="8"/>
        <v>52500</v>
      </c>
      <c r="P51" s="32">
        <f t="shared" si="9"/>
        <v>0</v>
      </c>
      <c r="Q51" s="32">
        <f t="shared" si="10"/>
        <v>52500</v>
      </c>
      <c r="R51" s="32">
        <f>O51*INDEX(Assumptions!$B$5:$B$8,MATCH(K51,Assumptions!$A$5:$A$8,0))</f>
        <v>34125</v>
      </c>
      <c r="S51" s="32">
        <f t="shared" si="11"/>
        <v>18375</v>
      </c>
      <c r="T51" s="33">
        <f t="shared" si="12"/>
        <v>0.35</v>
      </c>
      <c r="U51" s="34">
        <f t="shared" si="13"/>
        <v>46113</v>
      </c>
      <c r="V51" s="32">
        <f t="shared" si="14"/>
        <v>0</v>
      </c>
      <c r="W51" s="28" t="str">
        <f t="shared" si="15"/>
        <v>Same</v>
      </c>
    </row>
    <row r="52" spans="1:23" x14ac:dyDescent="0.25">
      <c r="A52" s="28" t="s">
        <v>225</v>
      </c>
      <c r="B52" s="29">
        <v>46128</v>
      </c>
      <c r="C52" s="28" t="s">
        <v>182</v>
      </c>
      <c r="D52" s="28" t="s">
        <v>178</v>
      </c>
      <c r="E52" s="28" t="s">
        <v>96</v>
      </c>
      <c r="F52" s="28" t="s">
        <v>134</v>
      </c>
      <c r="G52" s="30">
        <v>6</v>
      </c>
      <c r="H52" s="31">
        <v>0.1</v>
      </c>
      <c r="I52" s="32">
        <v>9720</v>
      </c>
      <c r="J52" s="28" t="str">
        <f>INDEX(Product_Master!$B$2:$B$11,MATCH(C52,Product_Master!$A$2:$A$11,0))</f>
        <v>Backpack</v>
      </c>
      <c r="K52" s="28" t="str">
        <f>INDEX(Product_Master!$C$2:$C$11,MATCH(C52,Product_Master!$A$2:$A$11,0))</f>
        <v>Accessories</v>
      </c>
      <c r="L52" s="32">
        <f>INDEX(Product_Master!$D$2:$D$11,MATCH(C52,Product_Master!$A$2:$A$11,0))</f>
        <v>1800</v>
      </c>
      <c r="M52" s="28" t="str">
        <f>INDEX(Employee_Master!$B$2:$B$9,MATCH(D52,Employee_Master!$A$2:$A$9,0))</f>
        <v>Sara</v>
      </c>
      <c r="N52" s="28" t="str">
        <f>INDEX(Employee_Master!$C$2:$C$9,MATCH(D52,Employee_Master!$A$2:$A$9,0))</f>
        <v>Lucknow</v>
      </c>
      <c r="O52" s="32">
        <f t="shared" si="8"/>
        <v>10800</v>
      </c>
      <c r="P52" s="32">
        <f t="shared" si="9"/>
        <v>1080</v>
      </c>
      <c r="Q52" s="32">
        <f t="shared" si="10"/>
        <v>9720</v>
      </c>
      <c r="R52" s="32">
        <f>O52*INDEX(Assumptions!$B$5:$B$8,MATCH(K52,Assumptions!$A$5:$A$8,0))</f>
        <v>5940.0000000000009</v>
      </c>
      <c r="S52" s="32">
        <f t="shared" si="11"/>
        <v>3779.9999999999991</v>
      </c>
      <c r="T52" s="33">
        <f t="shared" si="12"/>
        <v>0.38888888888888878</v>
      </c>
      <c r="U52" s="34">
        <f t="shared" si="13"/>
        <v>46113</v>
      </c>
      <c r="V52" s="32">
        <f t="shared" si="14"/>
        <v>0</v>
      </c>
      <c r="W52" s="28" t="str">
        <f t="shared" si="15"/>
        <v>Same</v>
      </c>
    </row>
    <row r="53" spans="1:23" x14ac:dyDescent="0.25">
      <c r="A53" s="28" t="s">
        <v>226</v>
      </c>
      <c r="B53" s="29">
        <v>46058</v>
      </c>
      <c r="C53" s="28" t="s">
        <v>164</v>
      </c>
      <c r="D53" s="28" t="s">
        <v>178</v>
      </c>
      <c r="E53" s="28" t="s">
        <v>96</v>
      </c>
      <c r="F53" s="28" t="s">
        <v>132</v>
      </c>
      <c r="G53" s="30">
        <v>7</v>
      </c>
      <c r="H53" s="31">
        <v>0.1</v>
      </c>
      <c r="I53" s="32">
        <v>47250</v>
      </c>
      <c r="J53" s="28" t="str">
        <f>INDEX(Product_Master!$B$2:$B$11,MATCH(C53,Product_Master!$A$2:$A$11,0))</f>
        <v>Office Chair</v>
      </c>
      <c r="K53" s="28" t="str">
        <f>INDEX(Product_Master!$C$2:$C$11,MATCH(C53,Product_Master!$A$2:$A$11,0))</f>
        <v>Furniture</v>
      </c>
      <c r="L53" s="32">
        <f>INDEX(Product_Master!$D$2:$D$11,MATCH(C53,Product_Master!$A$2:$A$11,0))</f>
        <v>7500</v>
      </c>
      <c r="M53" s="28" t="str">
        <f>INDEX(Employee_Master!$B$2:$B$9,MATCH(D53,Employee_Master!$A$2:$A$9,0))</f>
        <v>Sara</v>
      </c>
      <c r="N53" s="28" t="str">
        <f>INDEX(Employee_Master!$C$2:$C$9,MATCH(D53,Employee_Master!$A$2:$A$9,0))</f>
        <v>Lucknow</v>
      </c>
      <c r="O53" s="32">
        <f t="shared" si="8"/>
        <v>52500</v>
      </c>
      <c r="P53" s="32">
        <f t="shared" si="9"/>
        <v>5250</v>
      </c>
      <c r="Q53" s="32">
        <f t="shared" si="10"/>
        <v>47250</v>
      </c>
      <c r="R53" s="32">
        <f>O53*INDEX(Assumptions!$B$5:$B$8,MATCH(K53,Assumptions!$A$5:$A$8,0))</f>
        <v>34125</v>
      </c>
      <c r="S53" s="32">
        <f t="shared" si="11"/>
        <v>13125</v>
      </c>
      <c r="T53" s="33">
        <f t="shared" si="12"/>
        <v>0.27777777777777779</v>
      </c>
      <c r="U53" s="34">
        <f t="shared" si="13"/>
        <v>46054</v>
      </c>
      <c r="V53" s="32">
        <f t="shared" si="14"/>
        <v>0</v>
      </c>
      <c r="W53" s="28" t="str">
        <f t="shared" si="15"/>
        <v>Same</v>
      </c>
    </row>
    <row r="54" spans="1:23" x14ac:dyDescent="0.25">
      <c r="A54" s="28" t="s">
        <v>227</v>
      </c>
      <c r="B54" s="29">
        <v>46037</v>
      </c>
      <c r="C54" s="28" t="s">
        <v>158</v>
      </c>
      <c r="D54" s="28" t="s">
        <v>171</v>
      </c>
      <c r="E54" s="28" t="s">
        <v>95</v>
      </c>
      <c r="F54" s="28" t="s">
        <v>134</v>
      </c>
      <c r="G54" s="30">
        <v>6</v>
      </c>
      <c r="H54" s="31">
        <v>0</v>
      </c>
      <c r="I54" s="32">
        <v>108000</v>
      </c>
      <c r="J54" s="28" t="str">
        <f>INDEX(Product_Master!$B$2:$B$11,MATCH(C54,Product_Master!$A$2:$A$11,0))</f>
        <v>Monitor</v>
      </c>
      <c r="K54" s="28" t="str">
        <f>INDEX(Product_Master!$C$2:$C$11,MATCH(C54,Product_Master!$A$2:$A$11,0))</f>
        <v>Electronics</v>
      </c>
      <c r="L54" s="32">
        <f>INDEX(Product_Master!$D$2:$D$11,MATCH(C54,Product_Master!$A$2:$A$11,0))</f>
        <v>18000</v>
      </c>
      <c r="M54" s="28" t="str">
        <f>INDEX(Employee_Master!$B$2:$B$9,MATCH(D54,Employee_Master!$A$2:$A$9,0))</f>
        <v>Hamza</v>
      </c>
      <c r="N54" s="28" t="str">
        <f>INDEX(Employee_Master!$C$2:$C$9,MATCH(D54,Employee_Master!$A$2:$A$9,0))</f>
        <v>Delhi</v>
      </c>
      <c r="O54" s="32">
        <f t="shared" si="8"/>
        <v>108000</v>
      </c>
      <c r="P54" s="32">
        <f t="shared" si="9"/>
        <v>0</v>
      </c>
      <c r="Q54" s="32">
        <f t="shared" si="10"/>
        <v>108000</v>
      </c>
      <c r="R54" s="32">
        <f>O54*INDEX(Assumptions!$B$5:$B$8,MATCH(K54,Assumptions!$A$5:$A$8,0))</f>
        <v>81000</v>
      </c>
      <c r="S54" s="32">
        <f t="shared" si="11"/>
        <v>27000</v>
      </c>
      <c r="T54" s="33">
        <f t="shared" si="12"/>
        <v>0.25</v>
      </c>
      <c r="U54" s="34">
        <f t="shared" si="13"/>
        <v>46023</v>
      </c>
      <c r="V54" s="32">
        <f t="shared" si="14"/>
        <v>0</v>
      </c>
      <c r="W54" s="28" t="str">
        <f t="shared" si="15"/>
        <v>Same</v>
      </c>
    </row>
    <row r="55" spans="1:23" x14ac:dyDescent="0.25">
      <c r="A55" s="28" t="s">
        <v>228</v>
      </c>
      <c r="B55" s="29">
        <v>46099</v>
      </c>
      <c r="C55" s="28" t="s">
        <v>166</v>
      </c>
      <c r="D55" s="28" t="s">
        <v>175</v>
      </c>
      <c r="E55" s="28" t="s">
        <v>97</v>
      </c>
      <c r="F55" s="28" t="s">
        <v>133</v>
      </c>
      <c r="G55" s="30">
        <v>1</v>
      </c>
      <c r="H55" s="31">
        <v>0</v>
      </c>
      <c r="I55" s="32">
        <v>12000</v>
      </c>
      <c r="J55" s="28" t="str">
        <f>INDEX(Product_Master!$B$2:$B$11,MATCH(C55,Product_Master!$A$2:$A$11,0))</f>
        <v>Desk</v>
      </c>
      <c r="K55" s="28" t="str">
        <f>INDEX(Product_Master!$C$2:$C$11,MATCH(C55,Product_Master!$A$2:$A$11,0))</f>
        <v>Furniture</v>
      </c>
      <c r="L55" s="32">
        <f>INDEX(Product_Master!$D$2:$D$11,MATCH(C55,Product_Master!$A$2:$A$11,0))</f>
        <v>12000</v>
      </c>
      <c r="M55" s="28" t="str">
        <f>INDEX(Employee_Master!$B$2:$B$9,MATCH(D55,Employee_Master!$A$2:$A$9,0))</f>
        <v>Arman</v>
      </c>
      <c r="N55" s="28" t="str">
        <f>INDEX(Employee_Master!$C$2:$C$9,MATCH(D55,Employee_Master!$A$2:$A$9,0))</f>
        <v>Mumbai</v>
      </c>
      <c r="O55" s="32">
        <f t="shared" si="8"/>
        <v>12000</v>
      </c>
      <c r="P55" s="32">
        <f t="shared" si="9"/>
        <v>0</v>
      </c>
      <c r="Q55" s="32">
        <f t="shared" si="10"/>
        <v>12000</v>
      </c>
      <c r="R55" s="32">
        <f>O55*INDEX(Assumptions!$B$5:$B$8,MATCH(K55,Assumptions!$A$5:$A$8,0))</f>
        <v>7800</v>
      </c>
      <c r="S55" s="32">
        <f t="shared" si="11"/>
        <v>4200</v>
      </c>
      <c r="T55" s="33">
        <f t="shared" si="12"/>
        <v>0.35</v>
      </c>
      <c r="U55" s="34">
        <f t="shared" si="13"/>
        <v>46082</v>
      </c>
      <c r="V55" s="32">
        <f t="shared" si="14"/>
        <v>0</v>
      </c>
      <c r="W55" s="28" t="str">
        <f t="shared" si="15"/>
        <v>Same</v>
      </c>
    </row>
    <row r="56" spans="1:23" x14ac:dyDescent="0.25">
      <c r="A56" s="28" t="s">
        <v>229</v>
      </c>
      <c r="B56" s="29">
        <v>46138</v>
      </c>
      <c r="C56" s="28" t="s">
        <v>189</v>
      </c>
      <c r="D56" s="28" t="s">
        <v>168</v>
      </c>
      <c r="E56" s="28" t="s">
        <v>95</v>
      </c>
      <c r="F56" s="28" t="s">
        <v>134</v>
      </c>
      <c r="G56" s="30">
        <v>2</v>
      </c>
      <c r="H56" s="31">
        <v>0.15</v>
      </c>
      <c r="I56" s="32">
        <v>3740</v>
      </c>
      <c r="J56" s="28" t="str">
        <f>INDEX(Product_Master!$B$2:$B$11,MATCH(C56,Product_Master!$A$2:$A$11,0))</f>
        <v>Jeans</v>
      </c>
      <c r="K56" s="28" t="str">
        <f>INDEX(Product_Master!$C$2:$C$11,MATCH(C56,Product_Master!$A$2:$A$11,0))</f>
        <v>Clothing</v>
      </c>
      <c r="L56" s="32">
        <f>INDEX(Product_Master!$D$2:$D$11,MATCH(C56,Product_Master!$A$2:$A$11,0))</f>
        <v>2200</v>
      </c>
      <c r="M56" s="28" t="str">
        <f>INDEX(Employee_Master!$B$2:$B$9,MATCH(D56,Employee_Master!$A$2:$A$9,0))</f>
        <v>Ayesha</v>
      </c>
      <c r="N56" s="28" t="str">
        <f>INDEX(Employee_Master!$C$2:$C$9,MATCH(D56,Employee_Master!$A$2:$A$9,0))</f>
        <v>Mumbai</v>
      </c>
      <c r="O56" s="32">
        <f t="shared" si="8"/>
        <v>4400</v>
      </c>
      <c r="P56" s="32">
        <f t="shared" si="9"/>
        <v>660</v>
      </c>
      <c r="Q56" s="32">
        <f t="shared" si="10"/>
        <v>3740</v>
      </c>
      <c r="R56" s="32">
        <f>O56*INDEX(Assumptions!$B$5:$B$8,MATCH(K56,Assumptions!$A$5:$A$8,0))</f>
        <v>2200</v>
      </c>
      <c r="S56" s="32">
        <f t="shared" si="11"/>
        <v>1540</v>
      </c>
      <c r="T56" s="33">
        <f t="shared" si="12"/>
        <v>0.41176470588235292</v>
      </c>
      <c r="U56" s="34">
        <f t="shared" si="13"/>
        <v>46113</v>
      </c>
      <c r="V56" s="32">
        <f t="shared" si="14"/>
        <v>0</v>
      </c>
      <c r="W56" s="28" t="str">
        <f t="shared" si="15"/>
        <v>Different</v>
      </c>
    </row>
    <row r="57" spans="1:23" x14ac:dyDescent="0.25">
      <c r="A57" s="28" t="s">
        <v>230</v>
      </c>
      <c r="B57" s="29">
        <v>46069</v>
      </c>
      <c r="C57" s="28" t="s">
        <v>184</v>
      </c>
      <c r="D57" s="28" t="s">
        <v>178</v>
      </c>
      <c r="E57" s="28" t="s">
        <v>96</v>
      </c>
      <c r="F57" s="28" t="s">
        <v>134</v>
      </c>
      <c r="G57" s="30">
        <v>1</v>
      </c>
      <c r="H57" s="31">
        <v>0.05</v>
      </c>
      <c r="I57" s="32">
        <v>2090</v>
      </c>
      <c r="J57" s="28" t="str">
        <f>INDEX(Product_Master!$B$2:$B$11,MATCH(C57,Product_Master!$A$2:$A$11,0))</f>
        <v>Table Lamp</v>
      </c>
      <c r="K57" s="28" t="str">
        <f>INDEX(Product_Master!$C$2:$C$11,MATCH(C57,Product_Master!$A$2:$A$11,0))</f>
        <v>Furniture</v>
      </c>
      <c r="L57" s="32">
        <f>INDEX(Product_Master!$D$2:$D$11,MATCH(C57,Product_Master!$A$2:$A$11,0))</f>
        <v>2200</v>
      </c>
      <c r="M57" s="28" t="str">
        <f>INDEX(Employee_Master!$B$2:$B$9,MATCH(D57,Employee_Master!$A$2:$A$9,0))</f>
        <v>Sara</v>
      </c>
      <c r="N57" s="28" t="str">
        <f>INDEX(Employee_Master!$C$2:$C$9,MATCH(D57,Employee_Master!$A$2:$A$9,0))</f>
        <v>Lucknow</v>
      </c>
      <c r="O57" s="32">
        <f t="shared" si="8"/>
        <v>2200</v>
      </c>
      <c r="P57" s="32">
        <f t="shared" si="9"/>
        <v>110</v>
      </c>
      <c r="Q57" s="32">
        <f t="shared" si="10"/>
        <v>2090</v>
      </c>
      <c r="R57" s="32">
        <f>O57*INDEX(Assumptions!$B$5:$B$8,MATCH(K57,Assumptions!$A$5:$A$8,0))</f>
        <v>1430</v>
      </c>
      <c r="S57" s="32">
        <f t="shared" si="11"/>
        <v>660</v>
      </c>
      <c r="T57" s="33">
        <f t="shared" si="12"/>
        <v>0.31578947368421051</v>
      </c>
      <c r="U57" s="34">
        <f t="shared" si="13"/>
        <v>46054</v>
      </c>
      <c r="V57" s="32">
        <f t="shared" si="14"/>
        <v>0</v>
      </c>
      <c r="W57" s="28" t="str">
        <f t="shared" si="15"/>
        <v>Same</v>
      </c>
    </row>
    <row r="58" spans="1:23" x14ac:dyDescent="0.25">
      <c r="A58" s="28" t="s">
        <v>231</v>
      </c>
      <c r="B58" s="29">
        <v>46087</v>
      </c>
      <c r="C58" s="28" t="s">
        <v>189</v>
      </c>
      <c r="D58" s="28" t="s">
        <v>162</v>
      </c>
      <c r="E58" s="28" t="s">
        <v>95</v>
      </c>
      <c r="F58" s="28" t="s">
        <v>133</v>
      </c>
      <c r="G58" s="30">
        <v>2</v>
      </c>
      <c r="H58" s="31">
        <v>0.1</v>
      </c>
      <c r="I58" s="32">
        <v>3960</v>
      </c>
      <c r="J58" s="28" t="str">
        <f>INDEX(Product_Master!$B$2:$B$11,MATCH(C58,Product_Master!$A$2:$A$11,0))</f>
        <v>Jeans</v>
      </c>
      <c r="K58" s="28" t="str">
        <f>INDEX(Product_Master!$C$2:$C$11,MATCH(C58,Product_Master!$A$2:$A$11,0))</f>
        <v>Clothing</v>
      </c>
      <c r="L58" s="32">
        <f>INDEX(Product_Master!$D$2:$D$11,MATCH(C58,Product_Master!$A$2:$A$11,0))</f>
        <v>2200</v>
      </c>
      <c r="M58" s="28" t="str">
        <f>INDEX(Employee_Master!$B$2:$B$9,MATCH(D58,Employee_Master!$A$2:$A$9,0))</f>
        <v>Priya</v>
      </c>
      <c r="N58" s="28" t="str">
        <f>INDEX(Employee_Master!$C$2:$C$9,MATCH(D58,Employee_Master!$A$2:$A$9,0))</f>
        <v>Delhi</v>
      </c>
      <c r="O58" s="32">
        <f t="shared" si="8"/>
        <v>4400</v>
      </c>
      <c r="P58" s="32">
        <f t="shared" si="9"/>
        <v>440</v>
      </c>
      <c r="Q58" s="32">
        <f t="shared" si="10"/>
        <v>3960</v>
      </c>
      <c r="R58" s="32">
        <f>O58*INDEX(Assumptions!$B$5:$B$8,MATCH(K58,Assumptions!$A$5:$A$8,0))</f>
        <v>2200</v>
      </c>
      <c r="S58" s="32">
        <f t="shared" si="11"/>
        <v>1760</v>
      </c>
      <c r="T58" s="33">
        <f t="shared" si="12"/>
        <v>0.44444444444444442</v>
      </c>
      <c r="U58" s="34">
        <f t="shared" si="13"/>
        <v>46082</v>
      </c>
      <c r="V58" s="32">
        <f t="shared" si="14"/>
        <v>0</v>
      </c>
      <c r="W58" s="28" t="str">
        <f t="shared" si="15"/>
        <v>Same</v>
      </c>
    </row>
    <row r="59" spans="1:23" x14ac:dyDescent="0.25">
      <c r="A59" s="28" t="s">
        <v>232</v>
      </c>
      <c r="B59" s="29">
        <v>46076</v>
      </c>
      <c r="C59" s="28" t="s">
        <v>166</v>
      </c>
      <c r="D59" s="28" t="s">
        <v>185</v>
      </c>
      <c r="E59" s="28" t="s">
        <v>96</v>
      </c>
      <c r="F59" s="28" t="s">
        <v>133</v>
      </c>
      <c r="G59" s="30">
        <v>3</v>
      </c>
      <c r="H59" s="31">
        <v>0.05</v>
      </c>
      <c r="I59" s="32">
        <v>34200</v>
      </c>
      <c r="J59" s="28" t="str">
        <f>INDEX(Product_Master!$B$2:$B$11,MATCH(C59,Product_Master!$A$2:$A$11,0))</f>
        <v>Desk</v>
      </c>
      <c r="K59" s="28" t="str">
        <f>INDEX(Product_Master!$C$2:$C$11,MATCH(C59,Product_Master!$A$2:$A$11,0))</f>
        <v>Furniture</v>
      </c>
      <c r="L59" s="32">
        <f>INDEX(Product_Master!$D$2:$D$11,MATCH(C59,Product_Master!$A$2:$A$11,0))</f>
        <v>12000</v>
      </c>
      <c r="M59" s="28" t="str">
        <f>INDEX(Employee_Master!$B$2:$B$9,MATCH(D59,Employee_Master!$A$2:$A$9,0))</f>
        <v>Kabir</v>
      </c>
      <c r="N59" s="28" t="str">
        <f>INDEX(Employee_Master!$C$2:$C$9,MATCH(D59,Employee_Master!$A$2:$A$9,0))</f>
        <v>Lucknow</v>
      </c>
      <c r="O59" s="32">
        <f t="shared" si="8"/>
        <v>36000</v>
      </c>
      <c r="P59" s="32">
        <f t="shared" si="9"/>
        <v>1800</v>
      </c>
      <c r="Q59" s="32">
        <f t="shared" si="10"/>
        <v>34200</v>
      </c>
      <c r="R59" s="32">
        <f>O59*INDEX(Assumptions!$B$5:$B$8,MATCH(K59,Assumptions!$A$5:$A$8,0))</f>
        <v>23400</v>
      </c>
      <c r="S59" s="32">
        <f t="shared" si="11"/>
        <v>10800</v>
      </c>
      <c r="T59" s="33">
        <f t="shared" si="12"/>
        <v>0.31578947368421051</v>
      </c>
      <c r="U59" s="34">
        <f t="shared" si="13"/>
        <v>46054</v>
      </c>
      <c r="V59" s="32">
        <f t="shared" si="14"/>
        <v>0</v>
      </c>
      <c r="W59" s="28" t="str">
        <f t="shared" si="15"/>
        <v>Same</v>
      </c>
    </row>
    <row r="60" spans="1:23" x14ac:dyDescent="0.25">
      <c r="A60" s="28" t="s">
        <v>233</v>
      </c>
      <c r="B60" s="29">
        <v>46061</v>
      </c>
      <c r="C60" s="28" t="s">
        <v>189</v>
      </c>
      <c r="D60" s="28" t="s">
        <v>175</v>
      </c>
      <c r="E60" s="28" t="s">
        <v>97</v>
      </c>
      <c r="F60" s="28" t="s">
        <v>133</v>
      </c>
      <c r="G60" s="30">
        <v>7</v>
      </c>
      <c r="H60" s="31">
        <v>0</v>
      </c>
      <c r="I60" s="32">
        <v>15400</v>
      </c>
      <c r="J60" s="28" t="str">
        <f>INDEX(Product_Master!$B$2:$B$11,MATCH(C60,Product_Master!$A$2:$A$11,0))</f>
        <v>Jeans</v>
      </c>
      <c r="K60" s="28" t="str">
        <f>INDEX(Product_Master!$C$2:$C$11,MATCH(C60,Product_Master!$A$2:$A$11,0))</f>
        <v>Clothing</v>
      </c>
      <c r="L60" s="32">
        <f>INDEX(Product_Master!$D$2:$D$11,MATCH(C60,Product_Master!$A$2:$A$11,0))</f>
        <v>2200</v>
      </c>
      <c r="M60" s="28" t="str">
        <f>INDEX(Employee_Master!$B$2:$B$9,MATCH(D60,Employee_Master!$A$2:$A$9,0))</f>
        <v>Arman</v>
      </c>
      <c r="N60" s="28" t="str">
        <f>INDEX(Employee_Master!$C$2:$C$9,MATCH(D60,Employee_Master!$A$2:$A$9,0))</f>
        <v>Mumbai</v>
      </c>
      <c r="O60" s="32">
        <f t="shared" si="8"/>
        <v>15400</v>
      </c>
      <c r="P60" s="32">
        <f t="shared" si="9"/>
        <v>0</v>
      </c>
      <c r="Q60" s="32">
        <f t="shared" si="10"/>
        <v>15400</v>
      </c>
      <c r="R60" s="32">
        <f>O60*INDEX(Assumptions!$B$5:$B$8,MATCH(K60,Assumptions!$A$5:$A$8,0))</f>
        <v>7700</v>
      </c>
      <c r="S60" s="32">
        <f t="shared" si="11"/>
        <v>7700</v>
      </c>
      <c r="T60" s="33">
        <f t="shared" si="12"/>
        <v>0.5</v>
      </c>
      <c r="U60" s="34">
        <f t="shared" si="13"/>
        <v>46054</v>
      </c>
      <c r="V60" s="32">
        <f t="shared" si="14"/>
        <v>0</v>
      </c>
      <c r="W60" s="28" t="str">
        <f t="shared" si="15"/>
        <v>Same</v>
      </c>
    </row>
    <row r="61" spans="1:23" x14ac:dyDescent="0.25">
      <c r="A61" s="28" t="s">
        <v>234</v>
      </c>
      <c r="B61" s="29">
        <v>46079</v>
      </c>
      <c r="C61" s="28" t="s">
        <v>166</v>
      </c>
      <c r="D61" s="28" t="s">
        <v>178</v>
      </c>
      <c r="E61" s="28" t="s">
        <v>96</v>
      </c>
      <c r="F61" s="28" t="s">
        <v>133</v>
      </c>
      <c r="G61" s="30">
        <v>8</v>
      </c>
      <c r="H61" s="31">
        <v>0.15</v>
      </c>
      <c r="I61" s="32">
        <v>81600</v>
      </c>
      <c r="J61" s="28" t="str">
        <f>INDEX(Product_Master!$B$2:$B$11,MATCH(C61,Product_Master!$A$2:$A$11,0))</f>
        <v>Desk</v>
      </c>
      <c r="K61" s="28" t="str">
        <f>INDEX(Product_Master!$C$2:$C$11,MATCH(C61,Product_Master!$A$2:$A$11,0))</f>
        <v>Furniture</v>
      </c>
      <c r="L61" s="32">
        <f>INDEX(Product_Master!$D$2:$D$11,MATCH(C61,Product_Master!$A$2:$A$11,0))</f>
        <v>12000</v>
      </c>
      <c r="M61" s="28" t="str">
        <f>INDEX(Employee_Master!$B$2:$B$9,MATCH(D61,Employee_Master!$A$2:$A$9,0))</f>
        <v>Sara</v>
      </c>
      <c r="N61" s="28" t="str">
        <f>INDEX(Employee_Master!$C$2:$C$9,MATCH(D61,Employee_Master!$A$2:$A$9,0))</f>
        <v>Lucknow</v>
      </c>
      <c r="O61" s="32">
        <f t="shared" si="8"/>
        <v>96000</v>
      </c>
      <c r="P61" s="32">
        <f t="shared" si="9"/>
        <v>14400</v>
      </c>
      <c r="Q61" s="32">
        <f t="shared" si="10"/>
        <v>81600</v>
      </c>
      <c r="R61" s="32">
        <f>O61*INDEX(Assumptions!$B$5:$B$8,MATCH(K61,Assumptions!$A$5:$A$8,0))</f>
        <v>62400</v>
      </c>
      <c r="S61" s="32">
        <f t="shared" si="11"/>
        <v>19200</v>
      </c>
      <c r="T61" s="33">
        <f t="shared" si="12"/>
        <v>0.23529411764705882</v>
      </c>
      <c r="U61" s="34">
        <f t="shared" si="13"/>
        <v>46054</v>
      </c>
      <c r="V61" s="32">
        <f t="shared" si="14"/>
        <v>0</v>
      </c>
      <c r="W61" s="28" t="str">
        <f t="shared" si="15"/>
        <v>Same</v>
      </c>
    </row>
    <row r="62" spans="1:23" x14ac:dyDescent="0.25">
      <c r="A62" s="28" t="s">
        <v>235</v>
      </c>
      <c r="B62" s="29">
        <v>46088</v>
      </c>
      <c r="C62" s="28" t="s">
        <v>164</v>
      </c>
      <c r="D62" s="28" t="s">
        <v>190</v>
      </c>
      <c r="E62" s="28" t="s">
        <v>97</v>
      </c>
      <c r="F62" s="28" t="s">
        <v>132</v>
      </c>
      <c r="G62" s="30">
        <v>2</v>
      </c>
      <c r="H62" s="31">
        <v>0.1</v>
      </c>
      <c r="I62" s="32">
        <v>13500</v>
      </c>
      <c r="J62" s="28" t="str">
        <f>INDEX(Product_Master!$B$2:$B$11,MATCH(C62,Product_Master!$A$2:$A$11,0))</f>
        <v>Office Chair</v>
      </c>
      <c r="K62" s="28" t="str">
        <f>INDEX(Product_Master!$C$2:$C$11,MATCH(C62,Product_Master!$A$2:$A$11,0))</f>
        <v>Furniture</v>
      </c>
      <c r="L62" s="32">
        <f>INDEX(Product_Master!$D$2:$D$11,MATCH(C62,Product_Master!$A$2:$A$11,0))</f>
        <v>7500</v>
      </c>
      <c r="M62" s="28" t="str">
        <f>INDEX(Employee_Master!$B$2:$B$9,MATCH(D62,Employee_Master!$A$2:$A$9,0))</f>
        <v>Sana</v>
      </c>
      <c r="N62" s="28" t="str">
        <f>INDEX(Employee_Master!$C$2:$C$9,MATCH(D62,Employee_Master!$A$2:$A$9,0))</f>
        <v>Delhi</v>
      </c>
      <c r="O62" s="32">
        <f t="shared" si="8"/>
        <v>15000</v>
      </c>
      <c r="P62" s="32">
        <f t="shared" si="9"/>
        <v>1500</v>
      </c>
      <c r="Q62" s="32">
        <f t="shared" si="10"/>
        <v>13500</v>
      </c>
      <c r="R62" s="32">
        <f>O62*INDEX(Assumptions!$B$5:$B$8,MATCH(K62,Assumptions!$A$5:$A$8,0))</f>
        <v>9750</v>
      </c>
      <c r="S62" s="32">
        <f t="shared" si="11"/>
        <v>3750</v>
      </c>
      <c r="T62" s="33">
        <f t="shared" si="12"/>
        <v>0.27777777777777779</v>
      </c>
      <c r="U62" s="34">
        <f t="shared" si="13"/>
        <v>46082</v>
      </c>
      <c r="V62" s="32">
        <f t="shared" si="14"/>
        <v>0</v>
      </c>
      <c r="W62" s="28" t="str">
        <f t="shared" si="15"/>
        <v>Different</v>
      </c>
    </row>
    <row r="63" spans="1:23" x14ac:dyDescent="0.25">
      <c r="A63" s="28" t="s">
        <v>236</v>
      </c>
      <c r="B63" s="29">
        <v>46126</v>
      </c>
      <c r="C63" s="28" t="s">
        <v>184</v>
      </c>
      <c r="D63" s="28" t="s">
        <v>168</v>
      </c>
      <c r="E63" s="28" t="s">
        <v>97</v>
      </c>
      <c r="F63" s="28" t="s">
        <v>132</v>
      </c>
      <c r="G63" s="30">
        <v>5</v>
      </c>
      <c r="H63" s="31">
        <v>0.05</v>
      </c>
      <c r="I63" s="32">
        <v>10450</v>
      </c>
      <c r="J63" s="28" t="str">
        <f>INDEX(Product_Master!$B$2:$B$11,MATCH(C63,Product_Master!$A$2:$A$11,0))</f>
        <v>Table Lamp</v>
      </c>
      <c r="K63" s="28" t="str">
        <f>INDEX(Product_Master!$C$2:$C$11,MATCH(C63,Product_Master!$A$2:$A$11,0))</f>
        <v>Furniture</v>
      </c>
      <c r="L63" s="32">
        <f>INDEX(Product_Master!$D$2:$D$11,MATCH(C63,Product_Master!$A$2:$A$11,0))</f>
        <v>2200</v>
      </c>
      <c r="M63" s="28" t="str">
        <f>INDEX(Employee_Master!$B$2:$B$9,MATCH(D63,Employee_Master!$A$2:$A$9,0))</f>
        <v>Ayesha</v>
      </c>
      <c r="N63" s="28" t="str">
        <f>INDEX(Employee_Master!$C$2:$C$9,MATCH(D63,Employee_Master!$A$2:$A$9,0))</f>
        <v>Mumbai</v>
      </c>
      <c r="O63" s="32">
        <f t="shared" si="8"/>
        <v>11000</v>
      </c>
      <c r="P63" s="32">
        <f t="shared" si="9"/>
        <v>550</v>
      </c>
      <c r="Q63" s="32">
        <f t="shared" si="10"/>
        <v>10450</v>
      </c>
      <c r="R63" s="32">
        <f>O63*INDEX(Assumptions!$B$5:$B$8,MATCH(K63,Assumptions!$A$5:$A$8,0))</f>
        <v>7150</v>
      </c>
      <c r="S63" s="32">
        <f t="shared" si="11"/>
        <v>3300</v>
      </c>
      <c r="T63" s="33">
        <f t="shared" si="12"/>
        <v>0.31578947368421051</v>
      </c>
      <c r="U63" s="34">
        <f t="shared" si="13"/>
        <v>46113</v>
      </c>
      <c r="V63" s="32">
        <f t="shared" si="14"/>
        <v>0</v>
      </c>
      <c r="W63" s="28" t="str">
        <f t="shared" si="15"/>
        <v>Same</v>
      </c>
    </row>
    <row r="64" spans="1:23" x14ac:dyDescent="0.25">
      <c r="A64" s="28" t="s">
        <v>237</v>
      </c>
      <c r="B64" s="29">
        <v>46081</v>
      </c>
      <c r="C64" s="28" t="s">
        <v>164</v>
      </c>
      <c r="D64" s="28" t="s">
        <v>175</v>
      </c>
      <c r="E64" s="28" t="s">
        <v>97</v>
      </c>
      <c r="F64" s="28" t="s">
        <v>132</v>
      </c>
      <c r="G64" s="30">
        <v>8</v>
      </c>
      <c r="H64" s="31">
        <v>0</v>
      </c>
      <c r="I64" s="32">
        <v>60000</v>
      </c>
      <c r="J64" s="28" t="str">
        <f>INDEX(Product_Master!$B$2:$B$11,MATCH(C64,Product_Master!$A$2:$A$11,0))</f>
        <v>Office Chair</v>
      </c>
      <c r="K64" s="28" t="str">
        <f>INDEX(Product_Master!$C$2:$C$11,MATCH(C64,Product_Master!$A$2:$A$11,0))</f>
        <v>Furniture</v>
      </c>
      <c r="L64" s="32">
        <f>INDEX(Product_Master!$D$2:$D$11,MATCH(C64,Product_Master!$A$2:$A$11,0))</f>
        <v>7500</v>
      </c>
      <c r="M64" s="28" t="str">
        <f>INDEX(Employee_Master!$B$2:$B$9,MATCH(D64,Employee_Master!$A$2:$A$9,0))</f>
        <v>Arman</v>
      </c>
      <c r="N64" s="28" t="str">
        <f>INDEX(Employee_Master!$C$2:$C$9,MATCH(D64,Employee_Master!$A$2:$A$9,0))</f>
        <v>Mumbai</v>
      </c>
      <c r="O64" s="32">
        <f t="shared" si="8"/>
        <v>60000</v>
      </c>
      <c r="P64" s="32">
        <f t="shared" si="9"/>
        <v>0</v>
      </c>
      <c r="Q64" s="32">
        <f t="shared" si="10"/>
        <v>60000</v>
      </c>
      <c r="R64" s="32">
        <f>O64*INDEX(Assumptions!$B$5:$B$8,MATCH(K64,Assumptions!$A$5:$A$8,0))</f>
        <v>39000</v>
      </c>
      <c r="S64" s="32">
        <f t="shared" si="11"/>
        <v>21000</v>
      </c>
      <c r="T64" s="33">
        <f t="shared" si="12"/>
        <v>0.35</v>
      </c>
      <c r="U64" s="34">
        <f t="shared" si="13"/>
        <v>46054</v>
      </c>
      <c r="V64" s="32">
        <f t="shared" si="14"/>
        <v>0</v>
      </c>
      <c r="W64" s="28" t="str">
        <f t="shared" si="15"/>
        <v>Same</v>
      </c>
    </row>
    <row r="65" spans="1:23" x14ac:dyDescent="0.25">
      <c r="A65" s="28" t="s">
        <v>238</v>
      </c>
      <c r="B65" s="29">
        <v>46054</v>
      </c>
      <c r="C65" s="28" t="s">
        <v>189</v>
      </c>
      <c r="D65" s="28" t="s">
        <v>178</v>
      </c>
      <c r="E65" s="28" t="s">
        <v>96</v>
      </c>
      <c r="F65" s="28" t="s">
        <v>134</v>
      </c>
      <c r="G65" s="30">
        <v>8</v>
      </c>
      <c r="H65" s="31">
        <v>0.15</v>
      </c>
      <c r="I65" s="32">
        <v>14960</v>
      </c>
      <c r="J65" s="28" t="str">
        <f>INDEX(Product_Master!$B$2:$B$11,MATCH(C65,Product_Master!$A$2:$A$11,0))</f>
        <v>Jeans</v>
      </c>
      <c r="K65" s="28" t="str">
        <f>INDEX(Product_Master!$C$2:$C$11,MATCH(C65,Product_Master!$A$2:$A$11,0))</f>
        <v>Clothing</v>
      </c>
      <c r="L65" s="32">
        <f>INDEX(Product_Master!$D$2:$D$11,MATCH(C65,Product_Master!$A$2:$A$11,0))</f>
        <v>2200</v>
      </c>
      <c r="M65" s="28" t="str">
        <f>INDEX(Employee_Master!$B$2:$B$9,MATCH(D65,Employee_Master!$A$2:$A$9,0))</f>
        <v>Sara</v>
      </c>
      <c r="N65" s="28" t="str">
        <f>INDEX(Employee_Master!$C$2:$C$9,MATCH(D65,Employee_Master!$A$2:$A$9,0))</f>
        <v>Lucknow</v>
      </c>
      <c r="O65" s="32">
        <f t="shared" si="8"/>
        <v>17600</v>
      </c>
      <c r="P65" s="32">
        <f t="shared" si="9"/>
        <v>2640</v>
      </c>
      <c r="Q65" s="32">
        <f t="shared" si="10"/>
        <v>14960</v>
      </c>
      <c r="R65" s="32">
        <f>O65*INDEX(Assumptions!$B$5:$B$8,MATCH(K65,Assumptions!$A$5:$A$8,0))</f>
        <v>8800</v>
      </c>
      <c r="S65" s="32">
        <f t="shared" si="11"/>
        <v>6160</v>
      </c>
      <c r="T65" s="33">
        <f t="shared" si="12"/>
        <v>0.41176470588235292</v>
      </c>
      <c r="U65" s="34">
        <f t="shared" si="13"/>
        <v>46054</v>
      </c>
      <c r="V65" s="32">
        <f t="shared" si="14"/>
        <v>0</v>
      </c>
      <c r="W65" s="28" t="str">
        <f t="shared" si="15"/>
        <v>Same</v>
      </c>
    </row>
    <row r="66" spans="1:23" x14ac:dyDescent="0.25">
      <c r="A66" s="28" t="s">
        <v>239</v>
      </c>
      <c r="B66" s="29">
        <v>46125</v>
      </c>
      <c r="C66" s="28" t="s">
        <v>177</v>
      </c>
      <c r="D66" s="28" t="s">
        <v>159</v>
      </c>
      <c r="E66" s="28" t="s">
        <v>96</v>
      </c>
      <c r="F66" s="28" t="s">
        <v>134</v>
      </c>
      <c r="G66" s="30">
        <v>4</v>
      </c>
      <c r="H66" s="31">
        <v>0.05</v>
      </c>
      <c r="I66" s="32">
        <v>9500</v>
      </c>
      <c r="J66" s="28" t="str">
        <f>INDEX(Product_Master!$B$2:$B$11,MATCH(C66,Product_Master!$A$2:$A$11,0))</f>
        <v>Keyboard</v>
      </c>
      <c r="K66" s="28" t="str">
        <f>INDEX(Product_Master!$C$2:$C$11,MATCH(C66,Product_Master!$A$2:$A$11,0))</f>
        <v>Electronics</v>
      </c>
      <c r="L66" s="32">
        <f>INDEX(Product_Master!$D$2:$D$11,MATCH(C66,Product_Master!$A$2:$A$11,0))</f>
        <v>2500</v>
      </c>
      <c r="M66" s="28" t="str">
        <f>INDEX(Employee_Master!$B$2:$B$9,MATCH(D66,Employee_Master!$A$2:$A$9,0))</f>
        <v>Rahul</v>
      </c>
      <c r="N66" s="28" t="str">
        <f>INDEX(Employee_Master!$C$2:$C$9,MATCH(D66,Employee_Master!$A$2:$A$9,0))</f>
        <v>Lucknow</v>
      </c>
      <c r="O66" s="32">
        <f t="shared" ref="O66:O97" si="16">G66*L66</f>
        <v>10000</v>
      </c>
      <c r="P66" s="32">
        <f t="shared" ref="P66:P97" si="17">O66*H66</f>
        <v>500</v>
      </c>
      <c r="Q66" s="32">
        <f t="shared" ref="Q66:Q97" si="18">O66-P66</f>
        <v>9500</v>
      </c>
      <c r="R66" s="32">
        <f>O66*INDEX(Assumptions!$B$5:$B$8,MATCH(K66,Assumptions!$A$5:$A$8,0))</f>
        <v>7500</v>
      </c>
      <c r="S66" s="32">
        <f t="shared" ref="S66:S97" si="19">Q66-R66</f>
        <v>2000</v>
      </c>
      <c r="T66" s="33">
        <f t="shared" ref="T66:T97" si="20">IF(Q66=0,0,S66/Q66)</f>
        <v>0.21052631578947367</v>
      </c>
      <c r="U66" s="34">
        <f t="shared" ref="U66:U97" si="21">DATE(YEAR(B66),MONTH(B66),1)</f>
        <v>46113</v>
      </c>
      <c r="V66" s="32">
        <f t="shared" ref="V66:V97" si="22">Q66-I66</f>
        <v>0</v>
      </c>
      <c r="W66" s="28" t="str">
        <f t="shared" ref="W66:W97" si="23">IF(E66=N66,"Same","Different")</f>
        <v>Same</v>
      </c>
    </row>
    <row r="67" spans="1:23" x14ac:dyDescent="0.25">
      <c r="A67" s="28" t="s">
        <v>240</v>
      </c>
      <c r="B67" s="29">
        <v>46040</v>
      </c>
      <c r="C67" s="28" t="s">
        <v>161</v>
      </c>
      <c r="D67" s="28" t="s">
        <v>190</v>
      </c>
      <c r="E67" s="28" t="s">
        <v>95</v>
      </c>
      <c r="F67" s="28" t="s">
        <v>132</v>
      </c>
      <c r="G67" s="30">
        <v>2</v>
      </c>
      <c r="H67" s="31">
        <v>0.15</v>
      </c>
      <c r="I67" s="32">
        <v>5950</v>
      </c>
      <c r="J67" s="28" t="str">
        <f>INDEX(Product_Master!$B$2:$B$11,MATCH(C67,Product_Master!$A$2:$A$11,0))</f>
        <v>Headphones</v>
      </c>
      <c r="K67" s="28" t="str">
        <f>INDEX(Product_Master!$C$2:$C$11,MATCH(C67,Product_Master!$A$2:$A$11,0))</f>
        <v>Electronics</v>
      </c>
      <c r="L67" s="32">
        <f>INDEX(Product_Master!$D$2:$D$11,MATCH(C67,Product_Master!$A$2:$A$11,0))</f>
        <v>3500</v>
      </c>
      <c r="M67" s="28" t="str">
        <f>INDEX(Employee_Master!$B$2:$B$9,MATCH(D67,Employee_Master!$A$2:$A$9,0))</f>
        <v>Sana</v>
      </c>
      <c r="N67" s="28" t="str">
        <f>INDEX(Employee_Master!$C$2:$C$9,MATCH(D67,Employee_Master!$A$2:$A$9,0))</f>
        <v>Delhi</v>
      </c>
      <c r="O67" s="32">
        <f t="shared" si="16"/>
        <v>7000</v>
      </c>
      <c r="P67" s="32">
        <f t="shared" si="17"/>
        <v>1050</v>
      </c>
      <c r="Q67" s="32">
        <f t="shared" si="18"/>
        <v>5950</v>
      </c>
      <c r="R67" s="32">
        <f>O67*INDEX(Assumptions!$B$5:$B$8,MATCH(K67,Assumptions!$A$5:$A$8,0))</f>
        <v>5250</v>
      </c>
      <c r="S67" s="32">
        <f t="shared" si="19"/>
        <v>700</v>
      </c>
      <c r="T67" s="33">
        <f t="shared" si="20"/>
        <v>0.11764705882352941</v>
      </c>
      <c r="U67" s="34">
        <f t="shared" si="21"/>
        <v>46023</v>
      </c>
      <c r="V67" s="32">
        <f t="shared" si="22"/>
        <v>0</v>
      </c>
      <c r="W67" s="28" t="str">
        <f t="shared" si="23"/>
        <v>Same</v>
      </c>
    </row>
    <row r="68" spans="1:23" x14ac:dyDescent="0.25">
      <c r="A68" s="28" t="s">
        <v>241</v>
      </c>
      <c r="B68" s="29">
        <v>46118</v>
      </c>
      <c r="C68" s="28" t="s">
        <v>182</v>
      </c>
      <c r="D68" s="28" t="s">
        <v>168</v>
      </c>
      <c r="E68" s="28" t="s">
        <v>95</v>
      </c>
      <c r="F68" s="28" t="s">
        <v>134</v>
      </c>
      <c r="G68" s="30">
        <v>8</v>
      </c>
      <c r="H68" s="31">
        <v>0.05</v>
      </c>
      <c r="I68" s="32">
        <v>13680</v>
      </c>
      <c r="J68" s="28" t="str">
        <f>INDEX(Product_Master!$B$2:$B$11,MATCH(C68,Product_Master!$A$2:$A$11,0))</f>
        <v>Backpack</v>
      </c>
      <c r="K68" s="28" t="str">
        <f>INDEX(Product_Master!$C$2:$C$11,MATCH(C68,Product_Master!$A$2:$A$11,0))</f>
        <v>Accessories</v>
      </c>
      <c r="L68" s="32">
        <f>INDEX(Product_Master!$D$2:$D$11,MATCH(C68,Product_Master!$A$2:$A$11,0))</f>
        <v>1800</v>
      </c>
      <c r="M68" s="28" t="str">
        <f>INDEX(Employee_Master!$B$2:$B$9,MATCH(D68,Employee_Master!$A$2:$A$9,0))</f>
        <v>Ayesha</v>
      </c>
      <c r="N68" s="28" t="str">
        <f>INDEX(Employee_Master!$C$2:$C$9,MATCH(D68,Employee_Master!$A$2:$A$9,0))</f>
        <v>Mumbai</v>
      </c>
      <c r="O68" s="32">
        <f t="shared" si="16"/>
        <v>14400</v>
      </c>
      <c r="P68" s="32">
        <f t="shared" si="17"/>
        <v>720</v>
      </c>
      <c r="Q68" s="32">
        <f t="shared" si="18"/>
        <v>13680</v>
      </c>
      <c r="R68" s="32">
        <f>O68*INDEX(Assumptions!$B$5:$B$8,MATCH(K68,Assumptions!$A$5:$A$8,0))</f>
        <v>7920.0000000000009</v>
      </c>
      <c r="S68" s="32">
        <f t="shared" si="19"/>
        <v>5759.9999999999991</v>
      </c>
      <c r="T68" s="33">
        <f t="shared" si="20"/>
        <v>0.42105263157894729</v>
      </c>
      <c r="U68" s="34">
        <f t="shared" si="21"/>
        <v>46113</v>
      </c>
      <c r="V68" s="32">
        <f t="shared" si="22"/>
        <v>0</v>
      </c>
      <c r="W68" s="28" t="str">
        <f t="shared" si="23"/>
        <v>Different</v>
      </c>
    </row>
    <row r="69" spans="1:23" x14ac:dyDescent="0.25">
      <c r="A69" s="28" t="s">
        <v>242</v>
      </c>
      <c r="B69" s="29">
        <v>46103</v>
      </c>
      <c r="C69" s="28" t="s">
        <v>182</v>
      </c>
      <c r="D69" s="28" t="s">
        <v>190</v>
      </c>
      <c r="E69" s="28" t="s">
        <v>95</v>
      </c>
      <c r="F69" s="28" t="s">
        <v>132</v>
      </c>
      <c r="G69" s="30">
        <v>5</v>
      </c>
      <c r="H69" s="31">
        <v>0.15</v>
      </c>
      <c r="I69" s="32">
        <v>7650</v>
      </c>
      <c r="J69" s="28" t="str">
        <f>INDEX(Product_Master!$B$2:$B$11,MATCH(C69,Product_Master!$A$2:$A$11,0))</f>
        <v>Backpack</v>
      </c>
      <c r="K69" s="28" t="str">
        <f>INDEX(Product_Master!$C$2:$C$11,MATCH(C69,Product_Master!$A$2:$A$11,0))</f>
        <v>Accessories</v>
      </c>
      <c r="L69" s="32">
        <f>INDEX(Product_Master!$D$2:$D$11,MATCH(C69,Product_Master!$A$2:$A$11,0))</f>
        <v>1800</v>
      </c>
      <c r="M69" s="28" t="str">
        <f>INDEX(Employee_Master!$B$2:$B$9,MATCH(D69,Employee_Master!$A$2:$A$9,0))</f>
        <v>Sana</v>
      </c>
      <c r="N69" s="28" t="str">
        <f>INDEX(Employee_Master!$C$2:$C$9,MATCH(D69,Employee_Master!$A$2:$A$9,0))</f>
        <v>Delhi</v>
      </c>
      <c r="O69" s="32">
        <f t="shared" si="16"/>
        <v>9000</v>
      </c>
      <c r="P69" s="32">
        <f t="shared" si="17"/>
        <v>1350</v>
      </c>
      <c r="Q69" s="32">
        <f t="shared" si="18"/>
        <v>7650</v>
      </c>
      <c r="R69" s="32">
        <f>O69*INDEX(Assumptions!$B$5:$B$8,MATCH(K69,Assumptions!$A$5:$A$8,0))</f>
        <v>4950</v>
      </c>
      <c r="S69" s="32">
        <f t="shared" si="19"/>
        <v>2700</v>
      </c>
      <c r="T69" s="33">
        <f t="shared" si="20"/>
        <v>0.35294117647058826</v>
      </c>
      <c r="U69" s="34">
        <f t="shared" si="21"/>
        <v>46082</v>
      </c>
      <c r="V69" s="32">
        <f t="shared" si="22"/>
        <v>0</v>
      </c>
      <c r="W69" s="28" t="str">
        <f t="shared" si="23"/>
        <v>Same</v>
      </c>
    </row>
    <row r="70" spans="1:23" x14ac:dyDescent="0.25">
      <c r="A70" s="28" t="s">
        <v>243</v>
      </c>
      <c r="B70" s="29">
        <v>46065</v>
      </c>
      <c r="C70" s="28" t="s">
        <v>164</v>
      </c>
      <c r="D70" s="28" t="s">
        <v>171</v>
      </c>
      <c r="E70" s="28" t="s">
        <v>95</v>
      </c>
      <c r="F70" s="28" t="s">
        <v>133</v>
      </c>
      <c r="G70" s="30">
        <v>4</v>
      </c>
      <c r="H70" s="31">
        <v>0.1</v>
      </c>
      <c r="I70" s="32">
        <v>27000</v>
      </c>
      <c r="J70" s="28" t="str">
        <f>INDEX(Product_Master!$B$2:$B$11,MATCH(C70,Product_Master!$A$2:$A$11,0))</f>
        <v>Office Chair</v>
      </c>
      <c r="K70" s="28" t="str">
        <f>INDEX(Product_Master!$C$2:$C$11,MATCH(C70,Product_Master!$A$2:$A$11,0))</f>
        <v>Furniture</v>
      </c>
      <c r="L70" s="32">
        <f>INDEX(Product_Master!$D$2:$D$11,MATCH(C70,Product_Master!$A$2:$A$11,0))</f>
        <v>7500</v>
      </c>
      <c r="M70" s="28" t="str">
        <f>INDEX(Employee_Master!$B$2:$B$9,MATCH(D70,Employee_Master!$A$2:$A$9,0))</f>
        <v>Hamza</v>
      </c>
      <c r="N70" s="28" t="str">
        <f>INDEX(Employee_Master!$C$2:$C$9,MATCH(D70,Employee_Master!$A$2:$A$9,0))</f>
        <v>Delhi</v>
      </c>
      <c r="O70" s="32">
        <f t="shared" si="16"/>
        <v>30000</v>
      </c>
      <c r="P70" s="32">
        <f t="shared" si="17"/>
        <v>3000</v>
      </c>
      <c r="Q70" s="32">
        <f t="shared" si="18"/>
        <v>27000</v>
      </c>
      <c r="R70" s="32">
        <f>O70*INDEX(Assumptions!$B$5:$B$8,MATCH(K70,Assumptions!$A$5:$A$8,0))</f>
        <v>19500</v>
      </c>
      <c r="S70" s="32">
        <f t="shared" si="19"/>
        <v>7500</v>
      </c>
      <c r="T70" s="33">
        <f t="shared" si="20"/>
        <v>0.27777777777777779</v>
      </c>
      <c r="U70" s="34">
        <f t="shared" si="21"/>
        <v>46054</v>
      </c>
      <c r="V70" s="32">
        <f t="shared" si="22"/>
        <v>0</v>
      </c>
      <c r="W70" s="28" t="str">
        <f t="shared" si="23"/>
        <v>Same</v>
      </c>
    </row>
    <row r="71" spans="1:23" x14ac:dyDescent="0.25">
      <c r="A71" s="28" t="s">
        <v>244</v>
      </c>
      <c r="B71" s="29">
        <v>46113</v>
      </c>
      <c r="C71" s="28" t="s">
        <v>170</v>
      </c>
      <c r="D71" s="28" t="s">
        <v>162</v>
      </c>
      <c r="E71" s="28" t="s">
        <v>95</v>
      </c>
      <c r="F71" s="28" t="s">
        <v>132</v>
      </c>
      <c r="G71" s="30">
        <v>7</v>
      </c>
      <c r="H71" s="31">
        <v>0.05</v>
      </c>
      <c r="I71" s="32">
        <v>7980</v>
      </c>
      <c r="J71" s="28" t="str">
        <f>INDEX(Product_Master!$B$2:$B$11,MATCH(C71,Product_Master!$A$2:$A$11,0))</f>
        <v>T-Shirt</v>
      </c>
      <c r="K71" s="28" t="str">
        <f>INDEX(Product_Master!$C$2:$C$11,MATCH(C71,Product_Master!$A$2:$A$11,0))</f>
        <v>Clothing</v>
      </c>
      <c r="L71" s="32">
        <f>INDEX(Product_Master!$D$2:$D$11,MATCH(C71,Product_Master!$A$2:$A$11,0))</f>
        <v>1200</v>
      </c>
      <c r="M71" s="28" t="str">
        <f>INDEX(Employee_Master!$B$2:$B$9,MATCH(D71,Employee_Master!$A$2:$A$9,0))</f>
        <v>Priya</v>
      </c>
      <c r="N71" s="28" t="str">
        <f>INDEX(Employee_Master!$C$2:$C$9,MATCH(D71,Employee_Master!$A$2:$A$9,0))</f>
        <v>Delhi</v>
      </c>
      <c r="O71" s="32">
        <f t="shared" si="16"/>
        <v>8400</v>
      </c>
      <c r="P71" s="32">
        <f t="shared" si="17"/>
        <v>420</v>
      </c>
      <c r="Q71" s="32">
        <f t="shared" si="18"/>
        <v>7980</v>
      </c>
      <c r="R71" s="32">
        <f>O71*INDEX(Assumptions!$B$5:$B$8,MATCH(K71,Assumptions!$A$5:$A$8,0))</f>
        <v>4200</v>
      </c>
      <c r="S71" s="32">
        <f t="shared" si="19"/>
        <v>3780</v>
      </c>
      <c r="T71" s="33">
        <f t="shared" si="20"/>
        <v>0.47368421052631576</v>
      </c>
      <c r="U71" s="34">
        <f t="shared" si="21"/>
        <v>46113</v>
      </c>
      <c r="V71" s="32">
        <f t="shared" si="22"/>
        <v>0</v>
      </c>
      <c r="W71" s="28" t="str">
        <f t="shared" si="23"/>
        <v>Same</v>
      </c>
    </row>
    <row r="72" spans="1:23" x14ac:dyDescent="0.25">
      <c r="A72" s="28" t="s">
        <v>245</v>
      </c>
      <c r="B72" s="29">
        <v>46030</v>
      </c>
      <c r="C72" s="28" t="s">
        <v>164</v>
      </c>
      <c r="D72" s="28" t="s">
        <v>162</v>
      </c>
      <c r="E72" s="28" t="s">
        <v>95</v>
      </c>
      <c r="F72" s="28" t="s">
        <v>133</v>
      </c>
      <c r="G72" s="30">
        <v>8</v>
      </c>
      <c r="H72" s="31">
        <v>0.15</v>
      </c>
      <c r="I72" s="32">
        <v>51000</v>
      </c>
      <c r="J72" s="28" t="str">
        <f>INDEX(Product_Master!$B$2:$B$11,MATCH(C72,Product_Master!$A$2:$A$11,0))</f>
        <v>Office Chair</v>
      </c>
      <c r="K72" s="28" t="str">
        <f>INDEX(Product_Master!$C$2:$C$11,MATCH(C72,Product_Master!$A$2:$A$11,0))</f>
        <v>Furniture</v>
      </c>
      <c r="L72" s="32">
        <f>INDEX(Product_Master!$D$2:$D$11,MATCH(C72,Product_Master!$A$2:$A$11,0))</f>
        <v>7500</v>
      </c>
      <c r="M72" s="28" t="str">
        <f>INDEX(Employee_Master!$B$2:$B$9,MATCH(D72,Employee_Master!$A$2:$A$9,0))</f>
        <v>Priya</v>
      </c>
      <c r="N72" s="28" t="str">
        <f>INDEX(Employee_Master!$C$2:$C$9,MATCH(D72,Employee_Master!$A$2:$A$9,0))</f>
        <v>Delhi</v>
      </c>
      <c r="O72" s="32">
        <f t="shared" si="16"/>
        <v>60000</v>
      </c>
      <c r="P72" s="32">
        <f t="shared" si="17"/>
        <v>9000</v>
      </c>
      <c r="Q72" s="32">
        <f t="shared" si="18"/>
        <v>51000</v>
      </c>
      <c r="R72" s="32">
        <f>O72*INDEX(Assumptions!$B$5:$B$8,MATCH(K72,Assumptions!$A$5:$A$8,0))</f>
        <v>39000</v>
      </c>
      <c r="S72" s="32">
        <f t="shared" si="19"/>
        <v>12000</v>
      </c>
      <c r="T72" s="33">
        <f t="shared" si="20"/>
        <v>0.23529411764705882</v>
      </c>
      <c r="U72" s="34">
        <f t="shared" si="21"/>
        <v>46023</v>
      </c>
      <c r="V72" s="32">
        <f t="shared" si="22"/>
        <v>0</v>
      </c>
      <c r="W72" s="28" t="str">
        <f t="shared" si="23"/>
        <v>Same</v>
      </c>
    </row>
    <row r="73" spans="1:23" x14ac:dyDescent="0.25">
      <c r="A73" s="28" t="s">
        <v>246</v>
      </c>
      <c r="B73" s="29">
        <v>46023</v>
      </c>
      <c r="C73" s="28" t="s">
        <v>164</v>
      </c>
      <c r="D73" s="28" t="s">
        <v>185</v>
      </c>
      <c r="E73" s="28" t="s">
        <v>96</v>
      </c>
      <c r="F73" s="28" t="s">
        <v>135</v>
      </c>
      <c r="G73" s="30">
        <v>7</v>
      </c>
      <c r="H73" s="31">
        <v>0.15</v>
      </c>
      <c r="I73" s="32">
        <v>44625</v>
      </c>
      <c r="J73" s="28" t="str">
        <f>INDEX(Product_Master!$B$2:$B$11,MATCH(C73,Product_Master!$A$2:$A$11,0))</f>
        <v>Office Chair</v>
      </c>
      <c r="K73" s="28" t="str">
        <f>INDEX(Product_Master!$C$2:$C$11,MATCH(C73,Product_Master!$A$2:$A$11,0))</f>
        <v>Furniture</v>
      </c>
      <c r="L73" s="32">
        <f>INDEX(Product_Master!$D$2:$D$11,MATCH(C73,Product_Master!$A$2:$A$11,0))</f>
        <v>7500</v>
      </c>
      <c r="M73" s="28" t="str">
        <f>INDEX(Employee_Master!$B$2:$B$9,MATCH(D73,Employee_Master!$A$2:$A$9,0))</f>
        <v>Kabir</v>
      </c>
      <c r="N73" s="28" t="str">
        <f>INDEX(Employee_Master!$C$2:$C$9,MATCH(D73,Employee_Master!$A$2:$A$9,0))</f>
        <v>Lucknow</v>
      </c>
      <c r="O73" s="32">
        <f t="shared" si="16"/>
        <v>52500</v>
      </c>
      <c r="P73" s="32">
        <f t="shared" si="17"/>
        <v>7875</v>
      </c>
      <c r="Q73" s="32">
        <f t="shared" si="18"/>
        <v>44625</v>
      </c>
      <c r="R73" s="32">
        <f>O73*INDEX(Assumptions!$B$5:$B$8,MATCH(K73,Assumptions!$A$5:$A$8,0))</f>
        <v>34125</v>
      </c>
      <c r="S73" s="32">
        <f t="shared" si="19"/>
        <v>10500</v>
      </c>
      <c r="T73" s="33">
        <f t="shared" si="20"/>
        <v>0.23529411764705882</v>
      </c>
      <c r="U73" s="34">
        <f t="shared" si="21"/>
        <v>46023</v>
      </c>
      <c r="V73" s="32">
        <f t="shared" si="22"/>
        <v>0</v>
      </c>
      <c r="W73" s="28" t="str">
        <f t="shared" si="23"/>
        <v>Same</v>
      </c>
    </row>
    <row r="74" spans="1:23" x14ac:dyDescent="0.25">
      <c r="A74" s="28" t="s">
        <v>247</v>
      </c>
      <c r="B74" s="29">
        <v>46057</v>
      </c>
      <c r="C74" s="28" t="s">
        <v>170</v>
      </c>
      <c r="D74" s="28" t="s">
        <v>171</v>
      </c>
      <c r="E74" s="28" t="s">
        <v>95</v>
      </c>
      <c r="F74" s="28" t="s">
        <v>132</v>
      </c>
      <c r="G74" s="30">
        <v>8</v>
      </c>
      <c r="H74" s="31">
        <v>0.05</v>
      </c>
      <c r="I74" s="32">
        <v>9120</v>
      </c>
      <c r="J74" s="28" t="str">
        <f>INDEX(Product_Master!$B$2:$B$11,MATCH(C74,Product_Master!$A$2:$A$11,0))</f>
        <v>T-Shirt</v>
      </c>
      <c r="K74" s="28" t="str">
        <f>INDEX(Product_Master!$C$2:$C$11,MATCH(C74,Product_Master!$A$2:$A$11,0))</f>
        <v>Clothing</v>
      </c>
      <c r="L74" s="32">
        <f>INDEX(Product_Master!$D$2:$D$11,MATCH(C74,Product_Master!$A$2:$A$11,0))</f>
        <v>1200</v>
      </c>
      <c r="M74" s="28" t="str">
        <f>INDEX(Employee_Master!$B$2:$B$9,MATCH(D74,Employee_Master!$A$2:$A$9,0))</f>
        <v>Hamza</v>
      </c>
      <c r="N74" s="28" t="str">
        <f>INDEX(Employee_Master!$C$2:$C$9,MATCH(D74,Employee_Master!$A$2:$A$9,0))</f>
        <v>Delhi</v>
      </c>
      <c r="O74" s="32">
        <f t="shared" si="16"/>
        <v>9600</v>
      </c>
      <c r="P74" s="32">
        <f t="shared" si="17"/>
        <v>480</v>
      </c>
      <c r="Q74" s="32">
        <f t="shared" si="18"/>
        <v>9120</v>
      </c>
      <c r="R74" s="32">
        <f>O74*INDEX(Assumptions!$B$5:$B$8,MATCH(K74,Assumptions!$A$5:$A$8,0))</f>
        <v>4800</v>
      </c>
      <c r="S74" s="32">
        <f t="shared" si="19"/>
        <v>4320</v>
      </c>
      <c r="T74" s="33">
        <f t="shared" si="20"/>
        <v>0.47368421052631576</v>
      </c>
      <c r="U74" s="34">
        <f t="shared" si="21"/>
        <v>46054</v>
      </c>
      <c r="V74" s="32">
        <f t="shared" si="22"/>
        <v>0</v>
      </c>
      <c r="W74" s="28" t="str">
        <f t="shared" si="23"/>
        <v>Same</v>
      </c>
    </row>
    <row r="75" spans="1:23" x14ac:dyDescent="0.25">
      <c r="A75" s="28" t="s">
        <v>248</v>
      </c>
      <c r="B75" s="29">
        <v>46130</v>
      </c>
      <c r="C75" s="28" t="s">
        <v>189</v>
      </c>
      <c r="D75" s="28" t="s">
        <v>190</v>
      </c>
      <c r="E75" s="28" t="s">
        <v>95</v>
      </c>
      <c r="F75" s="28" t="s">
        <v>133</v>
      </c>
      <c r="G75" s="30">
        <v>7</v>
      </c>
      <c r="H75" s="31">
        <v>0.05</v>
      </c>
      <c r="I75" s="32">
        <v>14630</v>
      </c>
      <c r="J75" s="28" t="str">
        <f>INDEX(Product_Master!$B$2:$B$11,MATCH(C75,Product_Master!$A$2:$A$11,0))</f>
        <v>Jeans</v>
      </c>
      <c r="K75" s="28" t="str">
        <f>INDEX(Product_Master!$C$2:$C$11,MATCH(C75,Product_Master!$A$2:$A$11,0))</f>
        <v>Clothing</v>
      </c>
      <c r="L75" s="32">
        <f>INDEX(Product_Master!$D$2:$D$11,MATCH(C75,Product_Master!$A$2:$A$11,0))</f>
        <v>2200</v>
      </c>
      <c r="M75" s="28" t="str">
        <f>INDEX(Employee_Master!$B$2:$B$9,MATCH(D75,Employee_Master!$A$2:$A$9,0))</f>
        <v>Sana</v>
      </c>
      <c r="N75" s="28" t="str">
        <f>INDEX(Employee_Master!$C$2:$C$9,MATCH(D75,Employee_Master!$A$2:$A$9,0))</f>
        <v>Delhi</v>
      </c>
      <c r="O75" s="32">
        <f t="shared" si="16"/>
        <v>15400</v>
      </c>
      <c r="P75" s="32">
        <f t="shared" si="17"/>
        <v>770</v>
      </c>
      <c r="Q75" s="32">
        <f t="shared" si="18"/>
        <v>14630</v>
      </c>
      <c r="R75" s="32">
        <f>O75*INDEX(Assumptions!$B$5:$B$8,MATCH(K75,Assumptions!$A$5:$A$8,0))</f>
        <v>7700</v>
      </c>
      <c r="S75" s="32">
        <f t="shared" si="19"/>
        <v>6930</v>
      </c>
      <c r="T75" s="33">
        <f t="shared" si="20"/>
        <v>0.47368421052631576</v>
      </c>
      <c r="U75" s="34">
        <f t="shared" si="21"/>
        <v>46113</v>
      </c>
      <c r="V75" s="32">
        <f t="shared" si="22"/>
        <v>0</v>
      </c>
      <c r="W75" s="28" t="str">
        <f t="shared" si="23"/>
        <v>Same</v>
      </c>
    </row>
    <row r="76" spans="1:23" x14ac:dyDescent="0.25">
      <c r="A76" s="28" t="s">
        <v>249</v>
      </c>
      <c r="B76" s="29">
        <v>46033</v>
      </c>
      <c r="C76" s="28" t="s">
        <v>182</v>
      </c>
      <c r="D76" s="28" t="s">
        <v>175</v>
      </c>
      <c r="E76" s="28" t="s">
        <v>97</v>
      </c>
      <c r="F76" s="28" t="s">
        <v>135</v>
      </c>
      <c r="G76" s="30">
        <v>7</v>
      </c>
      <c r="H76" s="31">
        <v>0</v>
      </c>
      <c r="I76" s="32">
        <v>12600</v>
      </c>
      <c r="J76" s="28" t="str">
        <f>INDEX(Product_Master!$B$2:$B$11,MATCH(C76,Product_Master!$A$2:$A$11,0))</f>
        <v>Backpack</v>
      </c>
      <c r="K76" s="28" t="str">
        <f>INDEX(Product_Master!$C$2:$C$11,MATCH(C76,Product_Master!$A$2:$A$11,0))</f>
        <v>Accessories</v>
      </c>
      <c r="L76" s="32">
        <f>INDEX(Product_Master!$D$2:$D$11,MATCH(C76,Product_Master!$A$2:$A$11,0))</f>
        <v>1800</v>
      </c>
      <c r="M76" s="28" t="str">
        <f>INDEX(Employee_Master!$B$2:$B$9,MATCH(D76,Employee_Master!$A$2:$A$9,0))</f>
        <v>Arman</v>
      </c>
      <c r="N76" s="28" t="str">
        <f>INDEX(Employee_Master!$C$2:$C$9,MATCH(D76,Employee_Master!$A$2:$A$9,0))</f>
        <v>Mumbai</v>
      </c>
      <c r="O76" s="32">
        <f t="shared" si="16"/>
        <v>12600</v>
      </c>
      <c r="P76" s="32">
        <f t="shared" si="17"/>
        <v>0</v>
      </c>
      <c r="Q76" s="32">
        <f t="shared" si="18"/>
        <v>12600</v>
      </c>
      <c r="R76" s="32">
        <f>O76*INDEX(Assumptions!$B$5:$B$8,MATCH(K76,Assumptions!$A$5:$A$8,0))</f>
        <v>6930.0000000000009</v>
      </c>
      <c r="S76" s="32">
        <f t="shared" si="19"/>
        <v>5669.9999999999991</v>
      </c>
      <c r="T76" s="33">
        <f t="shared" si="20"/>
        <v>0.4499999999999999</v>
      </c>
      <c r="U76" s="34">
        <f t="shared" si="21"/>
        <v>46023</v>
      </c>
      <c r="V76" s="32">
        <f t="shared" si="22"/>
        <v>0</v>
      </c>
      <c r="W76" s="28" t="str">
        <f t="shared" si="23"/>
        <v>Same</v>
      </c>
    </row>
    <row r="77" spans="1:23" x14ac:dyDescent="0.25">
      <c r="A77" s="28" t="s">
        <v>250</v>
      </c>
      <c r="B77" s="29">
        <v>46064</v>
      </c>
      <c r="C77" s="28" t="s">
        <v>189</v>
      </c>
      <c r="D77" s="28" t="s">
        <v>175</v>
      </c>
      <c r="E77" s="28" t="s">
        <v>96</v>
      </c>
      <c r="F77" s="28" t="s">
        <v>135</v>
      </c>
      <c r="G77" s="30">
        <v>5</v>
      </c>
      <c r="H77" s="31">
        <v>0.15</v>
      </c>
      <c r="I77" s="32">
        <v>9350</v>
      </c>
      <c r="J77" s="28" t="str">
        <f>INDEX(Product_Master!$B$2:$B$11,MATCH(C77,Product_Master!$A$2:$A$11,0))</f>
        <v>Jeans</v>
      </c>
      <c r="K77" s="28" t="str">
        <f>INDEX(Product_Master!$C$2:$C$11,MATCH(C77,Product_Master!$A$2:$A$11,0))</f>
        <v>Clothing</v>
      </c>
      <c r="L77" s="32">
        <f>INDEX(Product_Master!$D$2:$D$11,MATCH(C77,Product_Master!$A$2:$A$11,0))</f>
        <v>2200</v>
      </c>
      <c r="M77" s="28" t="str">
        <f>INDEX(Employee_Master!$B$2:$B$9,MATCH(D77,Employee_Master!$A$2:$A$9,0))</f>
        <v>Arman</v>
      </c>
      <c r="N77" s="28" t="str">
        <f>INDEX(Employee_Master!$C$2:$C$9,MATCH(D77,Employee_Master!$A$2:$A$9,0))</f>
        <v>Mumbai</v>
      </c>
      <c r="O77" s="32">
        <f t="shared" si="16"/>
        <v>11000</v>
      </c>
      <c r="P77" s="32">
        <f t="shared" si="17"/>
        <v>1650</v>
      </c>
      <c r="Q77" s="32">
        <f t="shared" si="18"/>
        <v>9350</v>
      </c>
      <c r="R77" s="32">
        <f>O77*INDEX(Assumptions!$B$5:$B$8,MATCH(K77,Assumptions!$A$5:$A$8,0))</f>
        <v>5500</v>
      </c>
      <c r="S77" s="32">
        <f t="shared" si="19"/>
        <v>3850</v>
      </c>
      <c r="T77" s="33">
        <f t="shared" si="20"/>
        <v>0.41176470588235292</v>
      </c>
      <c r="U77" s="34">
        <f t="shared" si="21"/>
        <v>46054</v>
      </c>
      <c r="V77" s="32">
        <f t="shared" si="22"/>
        <v>0</v>
      </c>
      <c r="W77" s="28" t="str">
        <f t="shared" si="23"/>
        <v>Different</v>
      </c>
    </row>
    <row r="78" spans="1:23" x14ac:dyDescent="0.25">
      <c r="A78" s="28" t="s">
        <v>251</v>
      </c>
      <c r="B78" s="29">
        <v>46055</v>
      </c>
      <c r="C78" s="28" t="s">
        <v>164</v>
      </c>
      <c r="D78" s="28" t="s">
        <v>190</v>
      </c>
      <c r="E78" s="28" t="s">
        <v>95</v>
      </c>
      <c r="F78" s="28" t="s">
        <v>134</v>
      </c>
      <c r="G78" s="30">
        <v>5</v>
      </c>
      <c r="H78" s="31">
        <v>0.15</v>
      </c>
      <c r="I78" s="32">
        <v>31875</v>
      </c>
      <c r="J78" s="28" t="str">
        <f>INDEX(Product_Master!$B$2:$B$11,MATCH(C78,Product_Master!$A$2:$A$11,0))</f>
        <v>Office Chair</v>
      </c>
      <c r="K78" s="28" t="str">
        <f>INDEX(Product_Master!$C$2:$C$11,MATCH(C78,Product_Master!$A$2:$A$11,0))</f>
        <v>Furniture</v>
      </c>
      <c r="L78" s="32">
        <f>INDEX(Product_Master!$D$2:$D$11,MATCH(C78,Product_Master!$A$2:$A$11,0))</f>
        <v>7500</v>
      </c>
      <c r="M78" s="28" t="str">
        <f>INDEX(Employee_Master!$B$2:$B$9,MATCH(D78,Employee_Master!$A$2:$A$9,0))</f>
        <v>Sana</v>
      </c>
      <c r="N78" s="28" t="str">
        <f>INDEX(Employee_Master!$C$2:$C$9,MATCH(D78,Employee_Master!$A$2:$A$9,0))</f>
        <v>Delhi</v>
      </c>
      <c r="O78" s="32">
        <f t="shared" si="16"/>
        <v>37500</v>
      </c>
      <c r="P78" s="32">
        <f t="shared" si="17"/>
        <v>5625</v>
      </c>
      <c r="Q78" s="32">
        <f t="shared" si="18"/>
        <v>31875</v>
      </c>
      <c r="R78" s="32">
        <f>O78*INDEX(Assumptions!$B$5:$B$8,MATCH(K78,Assumptions!$A$5:$A$8,0))</f>
        <v>24375</v>
      </c>
      <c r="S78" s="32">
        <f t="shared" si="19"/>
        <v>7500</v>
      </c>
      <c r="T78" s="33">
        <f t="shared" si="20"/>
        <v>0.23529411764705882</v>
      </c>
      <c r="U78" s="34">
        <f t="shared" si="21"/>
        <v>46054</v>
      </c>
      <c r="V78" s="32">
        <f t="shared" si="22"/>
        <v>0</v>
      </c>
      <c r="W78" s="28" t="str">
        <f t="shared" si="23"/>
        <v>Same</v>
      </c>
    </row>
    <row r="79" spans="1:23" x14ac:dyDescent="0.25">
      <c r="A79" s="28" t="s">
        <v>252</v>
      </c>
      <c r="B79" s="29">
        <v>46106</v>
      </c>
      <c r="C79" s="28" t="s">
        <v>158</v>
      </c>
      <c r="D79" s="28" t="s">
        <v>190</v>
      </c>
      <c r="E79" s="28" t="s">
        <v>95</v>
      </c>
      <c r="F79" s="28" t="s">
        <v>135</v>
      </c>
      <c r="G79" s="30">
        <v>6</v>
      </c>
      <c r="H79" s="31">
        <v>0.05</v>
      </c>
      <c r="I79" s="32">
        <v>102600</v>
      </c>
      <c r="J79" s="28" t="str">
        <f>INDEX(Product_Master!$B$2:$B$11,MATCH(C79,Product_Master!$A$2:$A$11,0))</f>
        <v>Monitor</v>
      </c>
      <c r="K79" s="28" t="str">
        <f>INDEX(Product_Master!$C$2:$C$11,MATCH(C79,Product_Master!$A$2:$A$11,0))</f>
        <v>Electronics</v>
      </c>
      <c r="L79" s="32">
        <f>INDEX(Product_Master!$D$2:$D$11,MATCH(C79,Product_Master!$A$2:$A$11,0))</f>
        <v>18000</v>
      </c>
      <c r="M79" s="28" t="str">
        <f>INDEX(Employee_Master!$B$2:$B$9,MATCH(D79,Employee_Master!$A$2:$A$9,0))</f>
        <v>Sana</v>
      </c>
      <c r="N79" s="28" t="str">
        <f>INDEX(Employee_Master!$C$2:$C$9,MATCH(D79,Employee_Master!$A$2:$A$9,0))</f>
        <v>Delhi</v>
      </c>
      <c r="O79" s="32">
        <f t="shared" si="16"/>
        <v>108000</v>
      </c>
      <c r="P79" s="32">
        <f t="shared" si="17"/>
        <v>5400</v>
      </c>
      <c r="Q79" s="32">
        <f t="shared" si="18"/>
        <v>102600</v>
      </c>
      <c r="R79" s="32">
        <f>O79*INDEX(Assumptions!$B$5:$B$8,MATCH(K79,Assumptions!$A$5:$A$8,0))</f>
        <v>81000</v>
      </c>
      <c r="S79" s="32">
        <f t="shared" si="19"/>
        <v>21600</v>
      </c>
      <c r="T79" s="33">
        <f t="shared" si="20"/>
        <v>0.21052631578947367</v>
      </c>
      <c r="U79" s="34">
        <f t="shared" si="21"/>
        <v>46082</v>
      </c>
      <c r="V79" s="32">
        <f t="shared" si="22"/>
        <v>0</v>
      </c>
      <c r="W79" s="28" t="str">
        <f t="shared" si="23"/>
        <v>Same</v>
      </c>
    </row>
    <row r="80" spans="1:23" x14ac:dyDescent="0.25">
      <c r="A80" s="28" t="s">
        <v>253</v>
      </c>
      <c r="B80" s="29">
        <v>46121</v>
      </c>
      <c r="C80" s="28" t="s">
        <v>177</v>
      </c>
      <c r="D80" s="28" t="s">
        <v>190</v>
      </c>
      <c r="E80" s="28" t="s">
        <v>95</v>
      </c>
      <c r="F80" s="28" t="s">
        <v>132</v>
      </c>
      <c r="G80" s="30">
        <v>8</v>
      </c>
      <c r="H80" s="31">
        <v>0.1</v>
      </c>
      <c r="I80" s="32">
        <v>18000</v>
      </c>
      <c r="J80" s="28" t="str">
        <f>INDEX(Product_Master!$B$2:$B$11,MATCH(C80,Product_Master!$A$2:$A$11,0))</f>
        <v>Keyboard</v>
      </c>
      <c r="K80" s="28" t="str">
        <f>INDEX(Product_Master!$C$2:$C$11,MATCH(C80,Product_Master!$A$2:$A$11,0))</f>
        <v>Electronics</v>
      </c>
      <c r="L80" s="32">
        <f>INDEX(Product_Master!$D$2:$D$11,MATCH(C80,Product_Master!$A$2:$A$11,0))</f>
        <v>2500</v>
      </c>
      <c r="M80" s="28" t="str">
        <f>INDEX(Employee_Master!$B$2:$B$9,MATCH(D80,Employee_Master!$A$2:$A$9,0))</f>
        <v>Sana</v>
      </c>
      <c r="N80" s="28" t="str">
        <f>INDEX(Employee_Master!$C$2:$C$9,MATCH(D80,Employee_Master!$A$2:$A$9,0))</f>
        <v>Delhi</v>
      </c>
      <c r="O80" s="32">
        <f t="shared" si="16"/>
        <v>20000</v>
      </c>
      <c r="P80" s="32">
        <f t="shared" si="17"/>
        <v>2000</v>
      </c>
      <c r="Q80" s="32">
        <f t="shared" si="18"/>
        <v>18000</v>
      </c>
      <c r="R80" s="32">
        <f>O80*INDEX(Assumptions!$B$5:$B$8,MATCH(K80,Assumptions!$A$5:$A$8,0))</f>
        <v>15000</v>
      </c>
      <c r="S80" s="32">
        <f t="shared" si="19"/>
        <v>3000</v>
      </c>
      <c r="T80" s="33">
        <f t="shared" si="20"/>
        <v>0.16666666666666666</v>
      </c>
      <c r="U80" s="34">
        <f t="shared" si="21"/>
        <v>46113</v>
      </c>
      <c r="V80" s="32">
        <f t="shared" si="22"/>
        <v>0</v>
      </c>
      <c r="W80" s="28" t="str">
        <f t="shared" si="23"/>
        <v>Same</v>
      </c>
    </row>
    <row r="81" spans="1:23" x14ac:dyDescent="0.25">
      <c r="A81" s="28" t="s">
        <v>254</v>
      </c>
      <c r="B81" s="29">
        <v>46036</v>
      </c>
      <c r="C81" s="28" t="s">
        <v>170</v>
      </c>
      <c r="D81" s="28" t="s">
        <v>175</v>
      </c>
      <c r="E81" s="28" t="s">
        <v>97</v>
      </c>
      <c r="F81" s="28" t="s">
        <v>135</v>
      </c>
      <c r="G81" s="30">
        <v>3</v>
      </c>
      <c r="H81" s="31">
        <v>0.1</v>
      </c>
      <c r="I81" s="32">
        <v>3240</v>
      </c>
      <c r="J81" s="28" t="str">
        <f>INDEX(Product_Master!$B$2:$B$11,MATCH(C81,Product_Master!$A$2:$A$11,0))</f>
        <v>T-Shirt</v>
      </c>
      <c r="K81" s="28" t="str">
        <f>INDEX(Product_Master!$C$2:$C$11,MATCH(C81,Product_Master!$A$2:$A$11,0))</f>
        <v>Clothing</v>
      </c>
      <c r="L81" s="32">
        <f>INDEX(Product_Master!$D$2:$D$11,MATCH(C81,Product_Master!$A$2:$A$11,0))</f>
        <v>1200</v>
      </c>
      <c r="M81" s="28" t="str">
        <f>INDEX(Employee_Master!$B$2:$B$9,MATCH(D81,Employee_Master!$A$2:$A$9,0))</f>
        <v>Arman</v>
      </c>
      <c r="N81" s="28" t="str">
        <f>INDEX(Employee_Master!$C$2:$C$9,MATCH(D81,Employee_Master!$A$2:$A$9,0))</f>
        <v>Mumbai</v>
      </c>
      <c r="O81" s="32">
        <f t="shared" si="16"/>
        <v>3600</v>
      </c>
      <c r="P81" s="32">
        <f t="shared" si="17"/>
        <v>360</v>
      </c>
      <c r="Q81" s="32">
        <f t="shared" si="18"/>
        <v>3240</v>
      </c>
      <c r="R81" s="32">
        <f>O81*INDEX(Assumptions!$B$5:$B$8,MATCH(K81,Assumptions!$A$5:$A$8,0))</f>
        <v>1800</v>
      </c>
      <c r="S81" s="32">
        <f t="shared" si="19"/>
        <v>1440</v>
      </c>
      <c r="T81" s="33">
        <f t="shared" si="20"/>
        <v>0.44444444444444442</v>
      </c>
      <c r="U81" s="34">
        <f t="shared" si="21"/>
        <v>46023</v>
      </c>
      <c r="V81" s="32">
        <f t="shared" si="22"/>
        <v>0</v>
      </c>
      <c r="W81" s="28" t="str">
        <f t="shared" si="23"/>
        <v>Same</v>
      </c>
    </row>
    <row r="82" spans="1:23" x14ac:dyDescent="0.25">
      <c r="A82" s="28" t="s">
        <v>255</v>
      </c>
      <c r="B82" s="29">
        <v>46032</v>
      </c>
      <c r="C82" s="28" t="s">
        <v>184</v>
      </c>
      <c r="D82" s="28" t="s">
        <v>159</v>
      </c>
      <c r="E82" s="28" t="s">
        <v>97</v>
      </c>
      <c r="F82" s="28" t="s">
        <v>134</v>
      </c>
      <c r="G82" s="30">
        <v>7</v>
      </c>
      <c r="H82" s="31">
        <v>0.05</v>
      </c>
      <c r="I82" s="32">
        <v>14630</v>
      </c>
      <c r="J82" s="28" t="str">
        <f>INDEX(Product_Master!$B$2:$B$11,MATCH(C82,Product_Master!$A$2:$A$11,0))</f>
        <v>Table Lamp</v>
      </c>
      <c r="K82" s="28" t="str">
        <f>INDEX(Product_Master!$C$2:$C$11,MATCH(C82,Product_Master!$A$2:$A$11,0))</f>
        <v>Furniture</v>
      </c>
      <c r="L82" s="32">
        <f>INDEX(Product_Master!$D$2:$D$11,MATCH(C82,Product_Master!$A$2:$A$11,0))</f>
        <v>2200</v>
      </c>
      <c r="M82" s="28" t="str">
        <f>INDEX(Employee_Master!$B$2:$B$9,MATCH(D82,Employee_Master!$A$2:$A$9,0))</f>
        <v>Rahul</v>
      </c>
      <c r="N82" s="28" t="str">
        <f>INDEX(Employee_Master!$C$2:$C$9,MATCH(D82,Employee_Master!$A$2:$A$9,0))</f>
        <v>Lucknow</v>
      </c>
      <c r="O82" s="32">
        <f t="shared" si="16"/>
        <v>15400</v>
      </c>
      <c r="P82" s="32">
        <f t="shared" si="17"/>
        <v>770</v>
      </c>
      <c r="Q82" s="32">
        <f t="shared" si="18"/>
        <v>14630</v>
      </c>
      <c r="R82" s="32">
        <f>O82*INDEX(Assumptions!$B$5:$B$8,MATCH(K82,Assumptions!$A$5:$A$8,0))</f>
        <v>10010</v>
      </c>
      <c r="S82" s="32">
        <f t="shared" si="19"/>
        <v>4620</v>
      </c>
      <c r="T82" s="33">
        <f t="shared" si="20"/>
        <v>0.31578947368421051</v>
      </c>
      <c r="U82" s="34">
        <f t="shared" si="21"/>
        <v>46023</v>
      </c>
      <c r="V82" s="32">
        <f t="shared" si="22"/>
        <v>0</v>
      </c>
      <c r="W82" s="28" t="str">
        <f t="shared" si="23"/>
        <v>Different</v>
      </c>
    </row>
    <row r="83" spans="1:23" x14ac:dyDescent="0.25">
      <c r="A83" s="28" t="s">
        <v>256</v>
      </c>
      <c r="B83" s="29">
        <v>46067</v>
      </c>
      <c r="C83" s="28" t="s">
        <v>184</v>
      </c>
      <c r="D83" s="28" t="s">
        <v>178</v>
      </c>
      <c r="E83" s="28" t="s">
        <v>96</v>
      </c>
      <c r="F83" s="28" t="s">
        <v>133</v>
      </c>
      <c r="G83" s="30">
        <v>2</v>
      </c>
      <c r="H83" s="31">
        <v>0</v>
      </c>
      <c r="I83" s="32">
        <v>4400</v>
      </c>
      <c r="J83" s="28" t="str">
        <f>INDEX(Product_Master!$B$2:$B$11,MATCH(C83,Product_Master!$A$2:$A$11,0))</f>
        <v>Table Lamp</v>
      </c>
      <c r="K83" s="28" t="str">
        <f>INDEX(Product_Master!$C$2:$C$11,MATCH(C83,Product_Master!$A$2:$A$11,0))</f>
        <v>Furniture</v>
      </c>
      <c r="L83" s="32">
        <f>INDEX(Product_Master!$D$2:$D$11,MATCH(C83,Product_Master!$A$2:$A$11,0))</f>
        <v>2200</v>
      </c>
      <c r="M83" s="28" t="str">
        <f>INDEX(Employee_Master!$B$2:$B$9,MATCH(D83,Employee_Master!$A$2:$A$9,0))</f>
        <v>Sara</v>
      </c>
      <c r="N83" s="28" t="str">
        <f>INDEX(Employee_Master!$C$2:$C$9,MATCH(D83,Employee_Master!$A$2:$A$9,0))</f>
        <v>Lucknow</v>
      </c>
      <c r="O83" s="32">
        <f t="shared" si="16"/>
        <v>4400</v>
      </c>
      <c r="P83" s="32">
        <f t="shared" si="17"/>
        <v>0</v>
      </c>
      <c r="Q83" s="32">
        <f t="shared" si="18"/>
        <v>4400</v>
      </c>
      <c r="R83" s="32">
        <f>O83*INDEX(Assumptions!$B$5:$B$8,MATCH(K83,Assumptions!$A$5:$A$8,0))</f>
        <v>2860</v>
      </c>
      <c r="S83" s="32">
        <f t="shared" si="19"/>
        <v>1540</v>
      </c>
      <c r="T83" s="33">
        <f t="shared" si="20"/>
        <v>0.35</v>
      </c>
      <c r="U83" s="34">
        <f t="shared" si="21"/>
        <v>46054</v>
      </c>
      <c r="V83" s="32">
        <f t="shared" si="22"/>
        <v>0</v>
      </c>
      <c r="W83" s="28" t="str">
        <f t="shared" si="23"/>
        <v>Same</v>
      </c>
    </row>
    <row r="84" spans="1:23" x14ac:dyDescent="0.25">
      <c r="A84" s="28" t="s">
        <v>257</v>
      </c>
      <c r="B84" s="29">
        <v>46131</v>
      </c>
      <c r="C84" s="28" t="s">
        <v>161</v>
      </c>
      <c r="D84" s="28" t="s">
        <v>185</v>
      </c>
      <c r="E84" s="28" t="s">
        <v>96</v>
      </c>
      <c r="F84" s="28" t="s">
        <v>135</v>
      </c>
      <c r="G84" s="30">
        <v>6</v>
      </c>
      <c r="H84" s="31">
        <v>0</v>
      </c>
      <c r="I84" s="32">
        <v>21000</v>
      </c>
      <c r="J84" s="28" t="str">
        <f>INDEX(Product_Master!$B$2:$B$11,MATCH(C84,Product_Master!$A$2:$A$11,0))</f>
        <v>Headphones</v>
      </c>
      <c r="K84" s="28" t="str">
        <f>INDEX(Product_Master!$C$2:$C$11,MATCH(C84,Product_Master!$A$2:$A$11,0))</f>
        <v>Electronics</v>
      </c>
      <c r="L84" s="32">
        <f>INDEX(Product_Master!$D$2:$D$11,MATCH(C84,Product_Master!$A$2:$A$11,0))</f>
        <v>3500</v>
      </c>
      <c r="M84" s="28" t="str">
        <f>INDEX(Employee_Master!$B$2:$B$9,MATCH(D84,Employee_Master!$A$2:$A$9,0))</f>
        <v>Kabir</v>
      </c>
      <c r="N84" s="28" t="str">
        <f>INDEX(Employee_Master!$C$2:$C$9,MATCH(D84,Employee_Master!$A$2:$A$9,0))</f>
        <v>Lucknow</v>
      </c>
      <c r="O84" s="32">
        <f t="shared" si="16"/>
        <v>21000</v>
      </c>
      <c r="P84" s="32">
        <f t="shared" si="17"/>
        <v>0</v>
      </c>
      <c r="Q84" s="32">
        <f t="shared" si="18"/>
        <v>21000</v>
      </c>
      <c r="R84" s="32">
        <f>O84*INDEX(Assumptions!$B$5:$B$8,MATCH(K84,Assumptions!$A$5:$A$8,0))</f>
        <v>15750</v>
      </c>
      <c r="S84" s="32">
        <f t="shared" si="19"/>
        <v>5250</v>
      </c>
      <c r="T84" s="33">
        <f t="shared" si="20"/>
        <v>0.25</v>
      </c>
      <c r="U84" s="34">
        <f t="shared" si="21"/>
        <v>46113</v>
      </c>
      <c r="V84" s="32">
        <f t="shared" si="22"/>
        <v>0</v>
      </c>
      <c r="W84" s="28" t="str">
        <f t="shared" si="23"/>
        <v>Same</v>
      </c>
    </row>
    <row r="85" spans="1:23" x14ac:dyDescent="0.25">
      <c r="A85" s="28" t="s">
        <v>258</v>
      </c>
      <c r="B85" s="29">
        <v>46078</v>
      </c>
      <c r="C85" s="28" t="s">
        <v>189</v>
      </c>
      <c r="D85" s="28" t="s">
        <v>190</v>
      </c>
      <c r="E85" s="28" t="s">
        <v>95</v>
      </c>
      <c r="F85" s="28" t="s">
        <v>133</v>
      </c>
      <c r="G85" s="30">
        <v>8</v>
      </c>
      <c r="H85" s="31">
        <v>0.05</v>
      </c>
      <c r="I85" s="32">
        <v>16720</v>
      </c>
      <c r="J85" s="28" t="str">
        <f>INDEX(Product_Master!$B$2:$B$11,MATCH(C85,Product_Master!$A$2:$A$11,0))</f>
        <v>Jeans</v>
      </c>
      <c r="K85" s="28" t="str">
        <f>INDEX(Product_Master!$C$2:$C$11,MATCH(C85,Product_Master!$A$2:$A$11,0))</f>
        <v>Clothing</v>
      </c>
      <c r="L85" s="32">
        <f>INDEX(Product_Master!$D$2:$D$11,MATCH(C85,Product_Master!$A$2:$A$11,0))</f>
        <v>2200</v>
      </c>
      <c r="M85" s="28" t="str">
        <f>INDEX(Employee_Master!$B$2:$B$9,MATCH(D85,Employee_Master!$A$2:$A$9,0))</f>
        <v>Sana</v>
      </c>
      <c r="N85" s="28" t="str">
        <f>INDEX(Employee_Master!$C$2:$C$9,MATCH(D85,Employee_Master!$A$2:$A$9,0))</f>
        <v>Delhi</v>
      </c>
      <c r="O85" s="32">
        <f t="shared" si="16"/>
        <v>17600</v>
      </c>
      <c r="P85" s="32">
        <f t="shared" si="17"/>
        <v>880</v>
      </c>
      <c r="Q85" s="32">
        <f t="shared" si="18"/>
        <v>16720</v>
      </c>
      <c r="R85" s="32">
        <f>O85*INDEX(Assumptions!$B$5:$B$8,MATCH(K85,Assumptions!$A$5:$A$8,0))</f>
        <v>8800</v>
      </c>
      <c r="S85" s="32">
        <f t="shared" si="19"/>
        <v>7920</v>
      </c>
      <c r="T85" s="33">
        <f t="shared" si="20"/>
        <v>0.47368421052631576</v>
      </c>
      <c r="U85" s="34">
        <f t="shared" si="21"/>
        <v>46054</v>
      </c>
      <c r="V85" s="32">
        <f t="shared" si="22"/>
        <v>0</v>
      </c>
      <c r="W85" s="28" t="str">
        <f t="shared" si="23"/>
        <v>Same</v>
      </c>
    </row>
    <row r="86" spans="1:23" x14ac:dyDescent="0.25">
      <c r="A86" s="28" t="s">
        <v>259</v>
      </c>
      <c r="B86" s="29">
        <v>46128</v>
      </c>
      <c r="C86" s="28" t="s">
        <v>177</v>
      </c>
      <c r="D86" s="28" t="s">
        <v>171</v>
      </c>
      <c r="E86" s="28" t="s">
        <v>95</v>
      </c>
      <c r="F86" s="28" t="s">
        <v>134</v>
      </c>
      <c r="G86" s="30">
        <v>8</v>
      </c>
      <c r="H86" s="31">
        <v>0.15</v>
      </c>
      <c r="I86" s="32">
        <v>17000</v>
      </c>
      <c r="J86" s="28" t="str">
        <f>INDEX(Product_Master!$B$2:$B$11,MATCH(C86,Product_Master!$A$2:$A$11,0))</f>
        <v>Keyboard</v>
      </c>
      <c r="K86" s="28" t="str">
        <f>INDEX(Product_Master!$C$2:$C$11,MATCH(C86,Product_Master!$A$2:$A$11,0))</f>
        <v>Electronics</v>
      </c>
      <c r="L86" s="32">
        <f>INDEX(Product_Master!$D$2:$D$11,MATCH(C86,Product_Master!$A$2:$A$11,0))</f>
        <v>2500</v>
      </c>
      <c r="M86" s="28" t="str">
        <f>INDEX(Employee_Master!$B$2:$B$9,MATCH(D86,Employee_Master!$A$2:$A$9,0))</f>
        <v>Hamza</v>
      </c>
      <c r="N86" s="28" t="str">
        <f>INDEX(Employee_Master!$C$2:$C$9,MATCH(D86,Employee_Master!$A$2:$A$9,0))</f>
        <v>Delhi</v>
      </c>
      <c r="O86" s="32">
        <f t="shared" si="16"/>
        <v>20000</v>
      </c>
      <c r="P86" s="32">
        <f t="shared" si="17"/>
        <v>3000</v>
      </c>
      <c r="Q86" s="32">
        <f t="shared" si="18"/>
        <v>17000</v>
      </c>
      <c r="R86" s="32">
        <f>O86*INDEX(Assumptions!$B$5:$B$8,MATCH(K86,Assumptions!$A$5:$A$8,0))</f>
        <v>15000</v>
      </c>
      <c r="S86" s="32">
        <f t="shared" si="19"/>
        <v>2000</v>
      </c>
      <c r="T86" s="33">
        <f t="shared" si="20"/>
        <v>0.11764705882352941</v>
      </c>
      <c r="U86" s="34">
        <f t="shared" si="21"/>
        <v>46113</v>
      </c>
      <c r="V86" s="32">
        <f t="shared" si="22"/>
        <v>0</v>
      </c>
      <c r="W86" s="28" t="str">
        <f t="shared" si="23"/>
        <v>Same</v>
      </c>
    </row>
    <row r="87" spans="1:23" x14ac:dyDescent="0.25">
      <c r="A87" s="28" t="s">
        <v>260</v>
      </c>
      <c r="B87" s="29">
        <v>46135</v>
      </c>
      <c r="C87" s="28" t="s">
        <v>184</v>
      </c>
      <c r="D87" s="28" t="s">
        <v>171</v>
      </c>
      <c r="E87" s="28" t="s">
        <v>95</v>
      </c>
      <c r="F87" s="28" t="s">
        <v>132</v>
      </c>
      <c r="G87" s="30">
        <v>2</v>
      </c>
      <c r="H87" s="31">
        <v>0.1</v>
      </c>
      <c r="I87" s="32">
        <v>3960</v>
      </c>
      <c r="J87" s="28" t="str">
        <f>INDEX(Product_Master!$B$2:$B$11,MATCH(C87,Product_Master!$A$2:$A$11,0))</f>
        <v>Table Lamp</v>
      </c>
      <c r="K87" s="28" t="str">
        <f>INDEX(Product_Master!$C$2:$C$11,MATCH(C87,Product_Master!$A$2:$A$11,0))</f>
        <v>Furniture</v>
      </c>
      <c r="L87" s="32">
        <f>INDEX(Product_Master!$D$2:$D$11,MATCH(C87,Product_Master!$A$2:$A$11,0))</f>
        <v>2200</v>
      </c>
      <c r="M87" s="28" t="str">
        <f>INDEX(Employee_Master!$B$2:$B$9,MATCH(D87,Employee_Master!$A$2:$A$9,0))</f>
        <v>Hamza</v>
      </c>
      <c r="N87" s="28" t="str">
        <f>INDEX(Employee_Master!$C$2:$C$9,MATCH(D87,Employee_Master!$A$2:$A$9,0))</f>
        <v>Delhi</v>
      </c>
      <c r="O87" s="32">
        <f t="shared" si="16"/>
        <v>4400</v>
      </c>
      <c r="P87" s="32">
        <f t="shared" si="17"/>
        <v>440</v>
      </c>
      <c r="Q87" s="32">
        <f t="shared" si="18"/>
        <v>3960</v>
      </c>
      <c r="R87" s="32">
        <f>O87*INDEX(Assumptions!$B$5:$B$8,MATCH(K87,Assumptions!$A$5:$A$8,0))</f>
        <v>2860</v>
      </c>
      <c r="S87" s="32">
        <f t="shared" si="19"/>
        <v>1100</v>
      </c>
      <c r="T87" s="33">
        <f t="shared" si="20"/>
        <v>0.27777777777777779</v>
      </c>
      <c r="U87" s="34">
        <f t="shared" si="21"/>
        <v>46113</v>
      </c>
      <c r="V87" s="32">
        <f t="shared" si="22"/>
        <v>0</v>
      </c>
      <c r="W87" s="28" t="str">
        <f t="shared" si="23"/>
        <v>Same</v>
      </c>
    </row>
    <row r="88" spans="1:23" x14ac:dyDescent="0.25">
      <c r="A88" s="28" t="s">
        <v>261</v>
      </c>
      <c r="B88" s="29">
        <v>46086</v>
      </c>
      <c r="C88" s="28" t="s">
        <v>182</v>
      </c>
      <c r="D88" s="28" t="s">
        <v>178</v>
      </c>
      <c r="E88" s="28" t="s">
        <v>97</v>
      </c>
      <c r="F88" s="28" t="s">
        <v>134</v>
      </c>
      <c r="G88" s="30">
        <v>6</v>
      </c>
      <c r="H88" s="31">
        <v>0</v>
      </c>
      <c r="I88" s="32">
        <v>10800</v>
      </c>
      <c r="J88" s="28" t="str">
        <f>INDEX(Product_Master!$B$2:$B$11,MATCH(C88,Product_Master!$A$2:$A$11,0))</f>
        <v>Backpack</v>
      </c>
      <c r="K88" s="28" t="str">
        <f>INDEX(Product_Master!$C$2:$C$11,MATCH(C88,Product_Master!$A$2:$A$11,0))</f>
        <v>Accessories</v>
      </c>
      <c r="L88" s="32">
        <f>INDEX(Product_Master!$D$2:$D$11,MATCH(C88,Product_Master!$A$2:$A$11,0))</f>
        <v>1800</v>
      </c>
      <c r="M88" s="28" t="str">
        <f>INDEX(Employee_Master!$B$2:$B$9,MATCH(D88,Employee_Master!$A$2:$A$9,0))</f>
        <v>Sara</v>
      </c>
      <c r="N88" s="28" t="str">
        <f>INDEX(Employee_Master!$C$2:$C$9,MATCH(D88,Employee_Master!$A$2:$A$9,0))</f>
        <v>Lucknow</v>
      </c>
      <c r="O88" s="32">
        <f t="shared" si="16"/>
        <v>10800</v>
      </c>
      <c r="P88" s="32">
        <f t="shared" si="17"/>
        <v>0</v>
      </c>
      <c r="Q88" s="32">
        <f t="shared" si="18"/>
        <v>10800</v>
      </c>
      <c r="R88" s="32">
        <f>O88*INDEX(Assumptions!$B$5:$B$8,MATCH(K88,Assumptions!$A$5:$A$8,0))</f>
        <v>5940.0000000000009</v>
      </c>
      <c r="S88" s="32">
        <f t="shared" si="19"/>
        <v>4859.9999999999991</v>
      </c>
      <c r="T88" s="33">
        <f t="shared" si="20"/>
        <v>0.4499999999999999</v>
      </c>
      <c r="U88" s="34">
        <f t="shared" si="21"/>
        <v>46082</v>
      </c>
      <c r="V88" s="32">
        <f t="shared" si="22"/>
        <v>0</v>
      </c>
      <c r="W88" s="28" t="str">
        <f t="shared" si="23"/>
        <v>Different</v>
      </c>
    </row>
    <row r="89" spans="1:23" x14ac:dyDescent="0.25">
      <c r="A89" s="28" t="s">
        <v>262</v>
      </c>
      <c r="B89" s="29">
        <v>46058</v>
      </c>
      <c r="C89" s="28" t="s">
        <v>170</v>
      </c>
      <c r="D89" s="28" t="s">
        <v>175</v>
      </c>
      <c r="E89" s="28" t="s">
        <v>97</v>
      </c>
      <c r="F89" s="28" t="s">
        <v>133</v>
      </c>
      <c r="G89" s="30">
        <v>5</v>
      </c>
      <c r="H89" s="31">
        <v>0.1</v>
      </c>
      <c r="I89" s="32">
        <v>5400</v>
      </c>
      <c r="J89" s="28" t="str">
        <f>INDEX(Product_Master!$B$2:$B$11,MATCH(C89,Product_Master!$A$2:$A$11,0))</f>
        <v>T-Shirt</v>
      </c>
      <c r="K89" s="28" t="str">
        <f>INDEX(Product_Master!$C$2:$C$11,MATCH(C89,Product_Master!$A$2:$A$11,0))</f>
        <v>Clothing</v>
      </c>
      <c r="L89" s="32">
        <f>INDEX(Product_Master!$D$2:$D$11,MATCH(C89,Product_Master!$A$2:$A$11,0))</f>
        <v>1200</v>
      </c>
      <c r="M89" s="28" t="str">
        <f>INDEX(Employee_Master!$B$2:$B$9,MATCH(D89,Employee_Master!$A$2:$A$9,0))</f>
        <v>Arman</v>
      </c>
      <c r="N89" s="28" t="str">
        <f>INDEX(Employee_Master!$C$2:$C$9,MATCH(D89,Employee_Master!$A$2:$A$9,0))</f>
        <v>Mumbai</v>
      </c>
      <c r="O89" s="32">
        <f t="shared" si="16"/>
        <v>6000</v>
      </c>
      <c r="P89" s="32">
        <f t="shared" si="17"/>
        <v>600</v>
      </c>
      <c r="Q89" s="32">
        <f t="shared" si="18"/>
        <v>5400</v>
      </c>
      <c r="R89" s="32">
        <f>O89*INDEX(Assumptions!$B$5:$B$8,MATCH(K89,Assumptions!$A$5:$A$8,0))</f>
        <v>3000</v>
      </c>
      <c r="S89" s="32">
        <f t="shared" si="19"/>
        <v>2400</v>
      </c>
      <c r="T89" s="33">
        <f t="shared" si="20"/>
        <v>0.44444444444444442</v>
      </c>
      <c r="U89" s="34">
        <f t="shared" si="21"/>
        <v>46054</v>
      </c>
      <c r="V89" s="32">
        <f t="shared" si="22"/>
        <v>0</v>
      </c>
      <c r="W89" s="28" t="str">
        <f t="shared" si="23"/>
        <v>Same</v>
      </c>
    </row>
    <row r="90" spans="1:23" x14ac:dyDescent="0.25">
      <c r="A90" s="28" t="s">
        <v>263</v>
      </c>
      <c r="B90" s="29">
        <v>46115</v>
      </c>
      <c r="C90" s="28" t="s">
        <v>184</v>
      </c>
      <c r="D90" s="28" t="s">
        <v>171</v>
      </c>
      <c r="E90" s="28" t="s">
        <v>95</v>
      </c>
      <c r="F90" s="28" t="s">
        <v>132</v>
      </c>
      <c r="G90" s="30">
        <v>2</v>
      </c>
      <c r="H90" s="31">
        <v>0.05</v>
      </c>
      <c r="I90" s="32">
        <v>4180</v>
      </c>
      <c r="J90" s="28" t="str">
        <f>INDEX(Product_Master!$B$2:$B$11,MATCH(C90,Product_Master!$A$2:$A$11,0))</f>
        <v>Table Lamp</v>
      </c>
      <c r="K90" s="28" t="str">
        <f>INDEX(Product_Master!$C$2:$C$11,MATCH(C90,Product_Master!$A$2:$A$11,0))</f>
        <v>Furniture</v>
      </c>
      <c r="L90" s="32">
        <f>INDEX(Product_Master!$D$2:$D$11,MATCH(C90,Product_Master!$A$2:$A$11,0))</f>
        <v>2200</v>
      </c>
      <c r="M90" s="28" t="str">
        <f>INDEX(Employee_Master!$B$2:$B$9,MATCH(D90,Employee_Master!$A$2:$A$9,0))</f>
        <v>Hamza</v>
      </c>
      <c r="N90" s="28" t="str">
        <f>INDEX(Employee_Master!$C$2:$C$9,MATCH(D90,Employee_Master!$A$2:$A$9,0))</f>
        <v>Delhi</v>
      </c>
      <c r="O90" s="32">
        <f t="shared" si="16"/>
        <v>4400</v>
      </c>
      <c r="P90" s="32">
        <f t="shared" si="17"/>
        <v>220</v>
      </c>
      <c r="Q90" s="32">
        <f t="shared" si="18"/>
        <v>4180</v>
      </c>
      <c r="R90" s="32">
        <f>O90*INDEX(Assumptions!$B$5:$B$8,MATCH(K90,Assumptions!$A$5:$A$8,0))</f>
        <v>2860</v>
      </c>
      <c r="S90" s="32">
        <f t="shared" si="19"/>
        <v>1320</v>
      </c>
      <c r="T90" s="33">
        <f t="shared" si="20"/>
        <v>0.31578947368421051</v>
      </c>
      <c r="U90" s="34">
        <f t="shared" si="21"/>
        <v>46113</v>
      </c>
      <c r="V90" s="32">
        <f t="shared" si="22"/>
        <v>0</v>
      </c>
      <c r="W90" s="28" t="str">
        <f t="shared" si="23"/>
        <v>Same</v>
      </c>
    </row>
    <row r="91" spans="1:23" x14ac:dyDescent="0.25">
      <c r="A91" s="28" t="s">
        <v>264</v>
      </c>
      <c r="B91" s="29">
        <v>46080</v>
      </c>
      <c r="C91" s="28" t="s">
        <v>189</v>
      </c>
      <c r="D91" s="28" t="s">
        <v>190</v>
      </c>
      <c r="E91" s="28" t="s">
        <v>95</v>
      </c>
      <c r="F91" s="28" t="s">
        <v>132</v>
      </c>
      <c r="G91" s="30">
        <v>8</v>
      </c>
      <c r="H91" s="31">
        <v>0.15</v>
      </c>
      <c r="I91" s="32">
        <v>14960</v>
      </c>
      <c r="J91" s="28" t="str">
        <f>INDEX(Product_Master!$B$2:$B$11,MATCH(C91,Product_Master!$A$2:$A$11,0))</f>
        <v>Jeans</v>
      </c>
      <c r="K91" s="28" t="str">
        <f>INDEX(Product_Master!$C$2:$C$11,MATCH(C91,Product_Master!$A$2:$A$11,0))</f>
        <v>Clothing</v>
      </c>
      <c r="L91" s="32">
        <f>INDEX(Product_Master!$D$2:$D$11,MATCH(C91,Product_Master!$A$2:$A$11,0))</f>
        <v>2200</v>
      </c>
      <c r="M91" s="28" t="str">
        <f>INDEX(Employee_Master!$B$2:$B$9,MATCH(D91,Employee_Master!$A$2:$A$9,0))</f>
        <v>Sana</v>
      </c>
      <c r="N91" s="28" t="str">
        <f>INDEX(Employee_Master!$C$2:$C$9,MATCH(D91,Employee_Master!$A$2:$A$9,0))</f>
        <v>Delhi</v>
      </c>
      <c r="O91" s="32">
        <f t="shared" si="16"/>
        <v>17600</v>
      </c>
      <c r="P91" s="32">
        <f t="shared" si="17"/>
        <v>2640</v>
      </c>
      <c r="Q91" s="32">
        <f t="shared" si="18"/>
        <v>14960</v>
      </c>
      <c r="R91" s="32">
        <f>O91*INDEX(Assumptions!$B$5:$B$8,MATCH(K91,Assumptions!$A$5:$A$8,0))</f>
        <v>8800</v>
      </c>
      <c r="S91" s="32">
        <f t="shared" si="19"/>
        <v>6160</v>
      </c>
      <c r="T91" s="33">
        <f t="shared" si="20"/>
        <v>0.41176470588235292</v>
      </c>
      <c r="U91" s="34">
        <f t="shared" si="21"/>
        <v>46054</v>
      </c>
      <c r="V91" s="32">
        <f t="shared" si="22"/>
        <v>0</v>
      </c>
      <c r="W91" s="28" t="str">
        <f t="shared" si="23"/>
        <v>Same</v>
      </c>
    </row>
    <row r="92" spans="1:23" x14ac:dyDescent="0.25">
      <c r="A92" s="28" t="s">
        <v>265</v>
      </c>
      <c r="B92" s="29">
        <v>46107</v>
      </c>
      <c r="C92" s="28" t="s">
        <v>187</v>
      </c>
      <c r="D92" s="28" t="s">
        <v>162</v>
      </c>
      <c r="E92" s="28" t="s">
        <v>95</v>
      </c>
      <c r="F92" s="28" t="s">
        <v>134</v>
      </c>
      <c r="G92" s="30">
        <v>4</v>
      </c>
      <c r="H92" s="31">
        <v>0.1</v>
      </c>
      <c r="I92" s="32">
        <v>198000</v>
      </c>
      <c r="J92" s="28" t="str">
        <f>INDEX(Product_Master!$B$2:$B$11,MATCH(C92,Product_Master!$A$2:$A$11,0))</f>
        <v>Laptop</v>
      </c>
      <c r="K92" s="28" t="str">
        <f>INDEX(Product_Master!$C$2:$C$11,MATCH(C92,Product_Master!$A$2:$A$11,0))</f>
        <v>Electronics</v>
      </c>
      <c r="L92" s="32">
        <f>INDEX(Product_Master!$D$2:$D$11,MATCH(C92,Product_Master!$A$2:$A$11,0))</f>
        <v>55000</v>
      </c>
      <c r="M92" s="28" t="str">
        <f>INDEX(Employee_Master!$B$2:$B$9,MATCH(D92,Employee_Master!$A$2:$A$9,0))</f>
        <v>Priya</v>
      </c>
      <c r="N92" s="28" t="str">
        <f>INDEX(Employee_Master!$C$2:$C$9,MATCH(D92,Employee_Master!$A$2:$A$9,0))</f>
        <v>Delhi</v>
      </c>
      <c r="O92" s="32">
        <f t="shared" si="16"/>
        <v>220000</v>
      </c>
      <c r="P92" s="32">
        <f t="shared" si="17"/>
        <v>22000</v>
      </c>
      <c r="Q92" s="32">
        <f t="shared" si="18"/>
        <v>198000</v>
      </c>
      <c r="R92" s="32">
        <f>O92*INDEX(Assumptions!$B$5:$B$8,MATCH(K92,Assumptions!$A$5:$A$8,0))</f>
        <v>165000</v>
      </c>
      <c r="S92" s="32">
        <f t="shared" si="19"/>
        <v>33000</v>
      </c>
      <c r="T92" s="33">
        <f t="shared" si="20"/>
        <v>0.16666666666666666</v>
      </c>
      <c r="U92" s="34">
        <f t="shared" si="21"/>
        <v>46082</v>
      </c>
      <c r="V92" s="32">
        <f t="shared" si="22"/>
        <v>0</v>
      </c>
      <c r="W92" s="28" t="str">
        <f t="shared" si="23"/>
        <v>Same</v>
      </c>
    </row>
    <row r="93" spans="1:23" x14ac:dyDescent="0.25">
      <c r="A93" s="28" t="s">
        <v>266</v>
      </c>
      <c r="B93" s="29">
        <v>46068</v>
      </c>
      <c r="C93" s="28" t="s">
        <v>184</v>
      </c>
      <c r="D93" s="28" t="s">
        <v>168</v>
      </c>
      <c r="E93" s="28" t="s">
        <v>97</v>
      </c>
      <c r="F93" s="28" t="s">
        <v>133</v>
      </c>
      <c r="G93" s="30">
        <v>7</v>
      </c>
      <c r="H93" s="31">
        <v>0.1</v>
      </c>
      <c r="I93" s="32">
        <v>13860</v>
      </c>
      <c r="J93" s="28" t="str">
        <f>INDEX(Product_Master!$B$2:$B$11,MATCH(C93,Product_Master!$A$2:$A$11,0))</f>
        <v>Table Lamp</v>
      </c>
      <c r="K93" s="28" t="str">
        <f>INDEX(Product_Master!$C$2:$C$11,MATCH(C93,Product_Master!$A$2:$A$11,0))</f>
        <v>Furniture</v>
      </c>
      <c r="L93" s="32">
        <f>INDEX(Product_Master!$D$2:$D$11,MATCH(C93,Product_Master!$A$2:$A$11,0))</f>
        <v>2200</v>
      </c>
      <c r="M93" s="28" t="str">
        <f>INDEX(Employee_Master!$B$2:$B$9,MATCH(D93,Employee_Master!$A$2:$A$9,0))</f>
        <v>Ayesha</v>
      </c>
      <c r="N93" s="28" t="str">
        <f>INDEX(Employee_Master!$C$2:$C$9,MATCH(D93,Employee_Master!$A$2:$A$9,0))</f>
        <v>Mumbai</v>
      </c>
      <c r="O93" s="32">
        <f t="shared" si="16"/>
        <v>15400</v>
      </c>
      <c r="P93" s="32">
        <f t="shared" si="17"/>
        <v>1540</v>
      </c>
      <c r="Q93" s="32">
        <f t="shared" si="18"/>
        <v>13860</v>
      </c>
      <c r="R93" s="32">
        <f>O93*INDEX(Assumptions!$B$5:$B$8,MATCH(K93,Assumptions!$A$5:$A$8,0))</f>
        <v>10010</v>
      </c>
      <c r="S93" s="32">
        <f t="shared" si="19"/>
        <v>3850</v>
      </c>
      <c r="T93" s="33">
        <f t="shared" si="20"/>
        <v>0.27777777777777779</v>
      </c>
      <c r="U93" s="34">
        <f t="shared" si="21"/>
        <v>46054</v>
      </c>
      <c r="V93" s="32">
        <f t="shared" si="22"/>
        <v>0</v>
      </c>
      <c r="W93" s="28" t="str">
        <f t="shared" si="23"/>
        <v>Same</v>
      </c>
    </row>
    <row r="94" spans="1:23" x14ac:dyDescent="0.25">
      <c r="A94" s="28" t="s">
        <v>267</v>
      </c>
      <c r="B94" s="29">
        <v>46063</v>
      </c>
      <c r="C94" s="28" t="s">
        <v>182</v>
      </c>
      <c r="D94" s="28" t="s">
        <v>171</v>
      </c>
      <c r="E94" s="28" t="s">
        <v>95</v>
      </c>
      <c r="F94" s="28" t="s">
        <v>132</v>
      </c>
      <c r="G94" s="30">
        <v>2</v>
      </c>
      <c r="H94" s="31">
        <v>0.05</v>
      </c>
      <c r="I94" s="32">
        <v>3420</v>
      </c>
      <c r="J94" s="28" t="str">
        <f>INDEX(Product_Master!$B$2:$B$11,MATCH(C94,Product_Master!$A$2:$A$11,0))</f>
        <v>Backpack</v>
      </c>
      <c r="K94" s="28" t="str">
        <f>INDEX(Product_Master!$C$2:$C$11,MATCH(C94,Product_Master!$A$2:$A$11,0))</f>
        <v>Accessories</v>
      </c>
      <c r="L94" s="32">
        <f>INDEX(Product_Master!$D$2:$D$11,MATCH(C94,Product_Master!$A$2:$A$11,0))</f>
        <v>1800</v>
      </c>
      <c r="M94" s="28" t="str">
        <f>INDEX(Employee_Master!$B$2:$B$9,MATCH(D94,Employee_Master!$A$2:$A$9,0))</f>
        <v>Hamza</v>
      </c>
      <c r="N94" s="28" t="str">
        <f>INDEX(Employee_Master!$C$2:$C$9,MATCH(D94,Employee_Master!$A$2:$A$9,0))</f>
        <v>Delhi</v>
      </c>
      <c r="O94" s="32">
        <f t="shared" si="16"/>
        <v>3600</v>
      </c>
      <c r="P94" s="32">
        <f t="shared" si="17"/>
        <v>180</v>
      </c>
      <c r="Q94" s="32">
        <f t="shared" si="18"/>
        <v>3420</v>
      </c>
      <c r="R94" s="32">
        <f>O94*INDEX(Assumptions!$B$5:$B$8,MATCH(K94,Assumptions!$A$5:$A$8,0))</f>
        <v>1980.0000000000002</v>
      </c>
      <c r="S94" s="32">
        <f t="shared" si="19"/>
        <v>1439.9999999999998</v>
      </c>
      <c r="T94" s="33">
        <f t="shared" si="20"/>
        <v>0.42105263157894729</v>
      </c>
      <c r="U94" s="34">
        <f t="shared" si="21"/>
        <v>46054</v>
      </c>
      <c r="V94" s="32">
        <f t="shared" si="22"/>
        <v>0</v>
      </c>
      <c r="W94" s="28" t="str">
        <f t="shared" si="23"/>
        <v>Same</v>
      </c>
    </row>
    <row r="95" spans="1:23" x14ac:dyDescent="0.25">
      <c r="A95" s="28" t="s">
        <v>268</v>
      </c>
      <c r="B95" s="29">
        <v>46035</v>
      </c>
      <c r="C95" s="28" t="s">
        <v>158</v>
      </c>
      <c r="D95" s="28" t="s">
        <v>175</v>
      </c>
      <c r="E95" s="28" t="s">
        <v>97</v>
      </c>
      <c r="F95" s="28" t="s">
        <v>134</v>
      </c>
      <c r="G95" s="30">
        <v>5</v>
      </c>
      <c r="H95" s="31">
        <v>0.1</v>
      </c>
      <c r="I95" s="32">
        <v>81000</v>
      </c>
      <c r="J95" s="28" t="str">
        <f>INDEX(Product_Master!$B$2:$B$11,MATCH(C95,Product_Master!$A$2:$A$11,0))</f>
        <v>Monitor</v>
      </c>
      <c r="K95" s="28" t="str">
        <f>INDEX(Product_Master!$C$2:$C$11,MATCH(C95,Product_Master!$A$2:$A$11,0))</f>
        <v>Electronics</v>
      </c>
      <c r="L95" s="32">
        <f>INDEX(Product_Master!$D$2:$D$11,MATCH(C95,Product_Master!$A$2:$A$11,0))</f>
        <v>18000</v>
      </c>
      <c r="M95" s="28" t="str">
        <f>INDEX(Employee_Master!$B$2:$B$9,MATCH(D95,Employee_Master!$A$2:$A$9,0))</f>
        <v>Arman</v>
      </c>
      <c r="N95" s="28" t="str">
        <f>INDEX(Employee_Master!$C$2:$C$9,MATCH(D95,Employee_Master!$A$2:$A$9,0))</f>
        <v>Mumbai</v>
      </c>
      <c r="O95" s="32">
        <f t="shared" si="16"/>
        <v>90000</v>
      </c>
      <c r="P95" s="32">
        <f t="shared" si="17"/>
        <v>9000</v>
      </c>
      <c r="Q95" s="32">
        <f t="shared" si="18"/>
        <v>81000</v>
      </c>
      <c r="R95" s="32">
        <f>O95*INDEX(Assumptions!$B$5:$B$8,MATCH(K95,Assumptions!$A$5:$A$8,0))</f>
        <v>67500</v>
      </c>
      <c r="S95" s="32">
        <f t="shared" si="19"/>
        <v>13500</v>
      </c>
      <c r="T95" s="33">
        <f t="shared" si="20"/>
        <v>0.16666666666666666</v>
      </c>
      <c r="U95" s="34">
        <f t="shared" si="21"/>
        <v>46023</v>
      </c>
      <c r="V95" s="32">
        <f t="shared" si="22"/>
        <v>0</v>
      </c>
      <c r="W95" s="28" t="str">
        <f t="shared" si="23"/>
        <v>Same</v>
      </c>
    </row>
    <row r="96" spans="1:23" x14ac:dyDescent="0.25">
      <c r="A96" s="28" t="s">
        <v>269</v>
      </c>
      <c r="B96" s="29">
        <v>46113</v>
      </c>
      <c r="C96" s="28" t="s">
        <v>164</v>
      </c>
      <c r="D96" s="28" t="s">
        <v>171</v>
      </c>
      <c r="E96" s="28" t="s">
        <v>95</v>
      </c>
      <c r="F96" s="28" t="s">
        <v>132</v>
      </c>
      <c r="G96" s="30">
        <v>5</v>
      </c>
      <c r="H96" s="31">
        <v>0</v>
      </c>
      <c r="I96" s="32">
        <v>37500</v>
      </c>
      <c r="J96" s="28" t="str">
        <f>INDEX(Product_Master!$B$2:$B$11,MATCH(C96,Product_Master!$A$2:$A$11,0))</f>
        <v>Office Chair</v>
      </c>
      <c r="K96" s="28" t="str">
        <f>INDEX(Product_Master!$C$2:$C$11,MATCH(C96,Product_Master!$A$2:$A$11,0))</f>
        <v>Furniture</v>
      </c>
      <c r="L96" s="32">
        <f>INDEX(Product_Master!$D$2:$D$11,MATCH(C96,Product_Master!$A$2:$A$11,0))</f>
        <v>7500</v>
      </c>
      <c r="M96" s="28" t="str">
        <f>INDEX(Employee_Master!$B$2:$B$9,MATCH(D96,Employee_Master!$A$2:$A$9,0))</f>
        <v>Hamza</v>
      </c>
      <c r="N96" s="28" t="str">
        <f>INDEX(Employee_Master!$C$2:$C$9,MATCH(D96,Employee_Master!$A$2:$A$9,0))</f>
        <v>Delhi</v>
      </c>
      <c r="O96" s="32">
        <f t="shared" si="16"/>
        <v>37500</v>
      </c>
      <c r="P96" s="32">
        <f t="shared" si="17"/>
        <v>0</v>
      </c>
      <c r="Q96" s="32">
        <f t="shared" si="18"/>
        <v>37500</v>
      </c>
      <c r="R96" s="32">
        <f>O96*INDEX(Assumptions!$B$5:$B$8,MATCH(K96,Assumptions!$A$5:$A$8,0))</f>
        <v>24375</v>
      </c>
      <c r="S96" s="32">
        <f t="shared" si="19"/>
        <v>13125</v>
      </c>
      <c r="T96" s="33">
        <f t="shared" si="20"/>
        <v>0.35</v>
      </c>
      <c r="U96" s="34">
        <f t="shared" si="21"/>
        <v>46113</v>
      </c>
      <c r="V96" s="32">
        <f t="shared" si="22"/>
        <v>0</v>
      </c>
      <c r="W96" s="28" t="str">
        <f t="shared" si="23"/>
        <v>Same</v>
      </c>
    </row>
    <row r="97" spans="1:23" x14ac:dyDescent="0.25">
      <c r="A97" s="28" t="s">
        <v>270</v>
      </c>
      <c r="B97" s="29">
        <v>46104</v>
      </c>
      <c r="C97" s="28" t="s">
        <v>161</v>
      </c>
      <c r="D97" s="28" t="s">
        <v>175</v>
      </c>
      <c r="E97" s="28" t="s">
        <v>97</v>
      </c>
      <c r="F97" s="28" t="s">
        <v>135</v>
      </c>
      <c r="G97" s="30">
        <v>5</v>
      </c>
      <c r="H97" s="31">
        <v>0.05</v>
      </c>
      <c r="I97" s="32">
        <v>16625</v>
      </c>
      <c r="J97" s="28" t="str">
        <f>INDEX(Product_Master!$B$2:$B$11,MATCH(C97,Product_Master!$A$2:$A$11,0))</f>
        <v>Headphones</v>
      </c>
      <c r="K97" s="28" t="str">
        <f>INDEX(Product_Master!$C$2:$C$11,MATCH(C97,Product_Master!$A$2:$A$11,0))</f>
        <v>Electronics</v>
      </c>
      <c r="L97" s="32">
        <f>INDEX(Product_Master!$D$2:$D$11,MATCH(C97,Product_Master!$A$2:$A$11,0))</f>
        <v>3500</v>
      </c>
      <c r="M97" s="28" t="str">
        <f>INDEX(Employee_Master!$B$2:$B$9,MATCH(D97,Employee_Master!$A$2:$A$9,0))</f>
        <v>Arman</v>
      </c>
      <c r="N97" s="28" t="str">
        <f>INDEX(Employee_Master!$C$2:$C$9,MATCH(D97,Employee_Master!$A$2:$A$9,0))</f>
        <v>Mumbai</v>
      </c>
      <c r="O97" s="32">
        <f t="shared" si="16"/>
        <v>17500</v>
      </c>
      <c r="P97" s="32">
        <f t="shared" si="17"/>
        <v>875</v>
      </c>
      <c r="Q97" s="32">
        <f t="shared" si="18"/>
        <v>16625</v>
      </c>
      <c r="R97" s="32">
        <f>O97*INDEX(Assumptions!$B$5:$B$8,MATCH(K97,Assumptions!$A$5:$A$8,0))</f>
        <v>13125</v>
      </c>
      <c r="S97" s="32">
        <f t="shared" si="19"/>
        <v>3500</v>
      </c>
      <c r="T97" s="33">
        <f t="shared" si="20"/>
        <v>0.21052631578947367</v>
      </c>
      <c r="U97" s="34">
        <f t="shared" si="21"/>
        <v>46082</v>
      </c>
      <c r="V97" s="32">
        <f t="shared" si="22"/>
        <v>0</v>
      </c>
      <c r="W97" s="28" t="str">
        <f t="shared" si="23"/>
        <v>Same</v>
      </c>
    </row>
    <row r="98" spans="1:23" x14ac:dyDescent="0.25">
      <c r="A98" s="28" t="s">
        <v>271</v>
      </c>
      <c r="B98" s="29">
        <v>46079</v>
      </c>
      <c r="C98" s="28" t="s">
        <v>182</v>
      </c>
      <c r="D98" s="28" t="s">
        <v>162</v>
      </c>
      <c r="E98" s="28" t="s">
        <v>97</v>
      </c>
      <c r="F98" s="28" t="s">
        <v>133</v>
      </c>
      <c r="G98" s="30">
        <v>8</v>
      </c>
      <c r="H98" s="31">
        <v>0.15</v>
      </c>
      <c r="I98" s="32">
        <v>12240</v>
      </c>
      <c r="J98" s="28" t="str">
        <f>INDEX(Product_Master!$B$2:$B$11,MATCH(C98,Product_Master!$A$2:$A$11,0))</f>
        <v>Backpack</v>
      </c>
      <c r="K98" s="28" t="str">
        <f>INDEX(Product_Master!$C$2:$C$11,MATCH(C98,Product_Master!$A$2:$A$11,0))</f>
        <v>Accessories</v>
      </c>
      <c r="L98" s="32">
        <f>INDEX(Product_Master!$D$2:$D$11,MATCH(C98,Product_Master!$A$2:$A$11,0))</f>
        <v>1800</v>
      </c>
      <c r="M98" s="28" t="str">
        <f>INDEX(Employee_Master!$B$2:$B$9,MATCH(D98,Employee_Master!$A$2:$A$9,0))</f>
        <v>Priya</v>
      </c>
      <c r="N98" s="28" t="str">
        <f>INDEX(Employee_Master!$C$2:$C$9,MATCH(D98,Employee_Master!$A$2:$A$9,0))</f>
        <v>Delhi</v>
      </c>
      <c r="O98" s="32">
        <f t="shared" ref="O98:O118" si="24">G98*L98</f>
        <v>14400</v>
      </c>
      <c r="P98" s="32">
        <f t="shared" ref="P98:P129" si="25">O98*H98</f>
        <v>2160</v>
      </c>
      <c r="Q98" s="32">
        <f t="shared" ref="Q98:Q129" si="26">O98-P98</f>
        <v>12240</v>
      </c>
      <c r="R98" s="32">
        <f>O98*INDEX(Assumptions!$B$5:$B$8,MATCH(K98,Assumptions!$A$5:$A$8,0))</f>
        <v>7920.0000000000009</v>
      </c>
      <c r="S98" s="32">
        <f t="shared" ref="S98:S129" si="27">Q98-R98</f>
        <v>4319.9999999999991</v>
      </c>
      <c r="T98" s="33">
        <f t="shared" ref="T98:T129" si="28">IF(Q98=0,0,S98/Q98)</f>
        <v>0.35294117647058815</v>
      </c>
      <c r="U98" s="34">
        <f t="shared" ref="U98:U118" si="29">DATE(YEAR(B98),MONTH(B98),1)</f>
        <v>46054</v>
      </c>
      <c r="V98" s="32">
        <f t="shared" ref="V98:V118" si="30">Q98-I98</f>
        <v>0</v>
      </c>
      <c r="W98" s="28" t="str">
        <f t="shared" ref="W98:W118" si="31">IF(E98=N98,"Same","Different")</f>
        <v>Different</v>
      </c>
    </row>
    <row r="99" spans="1:23" x14ac:dyDescent="0.25">
      <c r="A99" s="28" t="s">
        <v>272</v>
      </c>
      <c r="B99" s="29">
        <v>46074</v>
      </c>
      <c r="C99" s="28" t="s">
        <v>170</v>
      </c>
      <c r="D99" s="28" t="s">
        <v>175</v>
      </c>
      <c r="E99" s="28" t="s">
        <v>95</v>
      </c>
      <c r="F99" s="28" t="s">
        <v>134</v>
      </c>
      <c r="G99" s="30">
        <v>2</v>
      </c>
      <c r="H99" s="31">
        <v>0</v>
      </c>
      <c r="I99" s="32">
        <v>2400</v>
      </c>
      <c r="J99" s="28" t="str">
        <f>INDEX(Product_Master!$B$2:$B$11,MATCH(C99,Product_Master!$A$2:$A$11,0))</f>
        <v>T-Shirt</v>
      </c>
      <c r="K99" s="28" t="str">
        <f>INDEX(Product_Master!$C$2:$C$11,MATCH(C99,Product_Master!$A$2:$A$11,0))</f>
        <v>Clothing</v>
      </c>
      <c r="L99" s="32">
        <f>INDEX(Product_Master!$D$2:$D$11,MATCH(C99,Product_Master!$A$2:$A$11,0))</f>
        <v>1200</v>
      </c>
      <c r="M99" s="28" t="str">
        <f>INDEX(Employee_Master!$B$2:$B$9,MATCH(D99,Employee_Master!$A$2:$A$9,0))</f>
        <v>Arman</v>
      </c>
      <c r="N99" s="28" t="str">
        <f>INDEX(Employee_Master!$C$2:$C$9,MATCH(D99,Employee_Master!$A$2:$A$9,0))</f>
        <v>Mumbai</v>
      </c>
      <c r="O99" s="32">
        <f t="shared" si="24"/>
        <v>2400</v>
      </c>
      <c r="P99" s="32">
        <f t="shared" si="25"/>
        <v>0</v>
      </c>
      <c r="Q99" s="32">
        <f t="shared" si="26"/>
        <v>2400</v>
      </c>
      <c r="R99" s="32">
        <f>O99*INDEX(Assumptions!$B$5:$B$8,MATCH(K99,Assumptions!$A$5:$A$8,0))</f>
        <v>1200</v>
      </c>
      <c r="S99" s="32">
        <f t="shared" si="27"/>
        <v>1200</v>
      </c>
      <c r="T99" s="33">
        <f t="shared" si="28"/>
        <v>0.5</v>
      </c>
      <c r="U99" s="34">
        <f t="shared" si="29"/>
        <v>46054</v>
      </c>
      <c r="V99" s="32">
        <f t="shared" si="30"/>
        <v>0</v>
      </c>
      <c r="W99" s="28" t="str">
        <f t="shared" si="31"/>
        <v>Different</v>
      </c>
    </row>
    <row r="100" spans="1:23" x14ac:dyDescent="0.25">
      <c r="A100" s="28" t="s">
        <v>273</v>
      </c>
      <c r="B100" s="29">
        <v>46126</v>
      </c>
      <c r="C100" s="28" t="s">
        <v>182</v>
      </c>
      <c r="D100" s="28" t="s">
        <v>162</v>
      </c>
      <c r="E100" s="28" t="s">
        <v>95</v>
      </c>
      <c r="F100" s="28" t="s">
        <v>135</v>
      </c>
      <c r="G100" s="30">
        <v>3</v>
      </c>
      <c r="H100" s="31">
        <v>0.05</v>
      </c>
      <c r="I100" s="32">
        <v>5130</v>
      </c>
      <c r="J100" s="28" t="str">
        <f>INDEX(Product_Master!$B$2:$B$11,MATCH(C100,Product_Master!$A$2:$A$11,0))</f>
        <v>Backpack</v>
      </c>
      <c r="K100" s="28" t="str">
        <f>INDEX(Product_Master!$C$2:$C$11,MATCH(C100,Product_Master!$A$2:$A$11,0))</f>
        <v>Accessories</v>
      </c>
      <c r="L100" s="32">
        <f>INDEX(Product_Master!$D$2:$D$11,MATCH(C100,Product_Master!$A$2:$A$11,0))</f>
        <v>1800</v>
      </c>
      <c r="M100" s="28" t="str">
        <f>INDEX(Employee_Master!$B$2:$B$9,MATCH(D100,Employee_Master!$A$2:$A$9,0))</f>
        <v>Priya</v>
      </c>
      <c r="N100" s="28" t="str">
        <f>INDEX(Employee_Master!$C$2:$C$9,MATCH(D100,Employee_Master!$A$2:$A$9,0))</f>
        <v>Delhi</v>
      </c>
      <c r="O100" s="32">
        <f t="shared" si="24"/>
        <v>5400</v>
      </c>
      <c r="P100" s="32">
        <f t="shared" si="25"/>
        <v>270</v>
      </c>
      <c r="Q100" s="32">
        <f t="shared" si="26"/>
        <v>5130</v>
      </c>
      <c r="R100" s="32">
        <f>O100*INDEX(Assumptions!$B$5:$B$8,MATCH(K100,Assumptions!$A$5:$A$8,0))</f>
        <v>2970.0000000000005</v>
      </c>
      <c r="S100" s="32">
        <f t="shared" si="27"/>
        <v>2159.9999999999995</v>
      </c>
      <c r="T100" s="33">
        <f t="shared" si="28"/>
        <v>0.42105263157894729</v>
      </c>
      <c r="U100" s="34">
        <f t="shared" si="29"/>
        <v>46113</v>
      </c>
      <c r="V100" s="32">
        <f t="shared" si="30"/>
        <v>0</v>
      </c>
      <c r="W100" s="28" t="str">
        <f t="shared" si="31"/>
        <v>Same</v>
      </c>
    </row>
    <row r="101" spans="1:23" x14ac:dyDescent="0.25">
      <c r="A101" s="28" t="s">
        <v>274</v>
      </c>
      <c r="B101" s="29">
        <v>46100</v>
      </c>
      <c r="C101" s="28" t="s">
        <v>184</v>
      </c>
      <c r="D101" s="28" t="s">
        <v>171</v>
      </c>
      <c r="E101" s="28" t="s">
        <v>95</v>
      </c>
      <c r="F101" s="28" t="s">
        <v>132</v>
      </c>
      <c r="G101" s="30">
        <v>2</v>
      </c>
      <c r="H101" s="31">
        <v>0.15</v>
      </c>
      <c r="I101" s="32">
        <v>3740</v>
      </c>
      <c r="J101" s="28" t="str">
        <f>INDEX(Product_Master!$B$2:$B$11,MATCH(C101,Product_Master!$A$2:$A$11,0))</f>
        <v>Table Lamp</v>
      </c>
      <c r="K101" s="28" t="str">
        <f>INDEX(Product_Master!$C$2:$C$11,MATCH(C101,Product_Master!$A$2:$A$11,0))</f>
        <v>Furniture</v>
      </c>
      <c r="L101" s="32">
        <f>INDEX(Product_Master!$D$2:$D$11,MATCH(C101,Product_Master!$A$2:$A$11,0))</f>
        <v>2200</v>
      </c>
      <c r="M101" s="28" t="str">
        <f>INDEX(Employee_Master!$B$2:$B$9,MATCH(D101,Employee_Master!$A$2:$A$9,0))</f>
        <v>Hamza</v>
      </c>
      <c r="N101" s="28" t="str">
        <f>INDEX(Employee_Master!$C$2:$C$9,MATCH(D101,Employee_Master!$A$2:$A$9,0))</f>
        <v>Delhi</v>
      </c>
      <c r="O101" s="32">
        <f t="shared" si="24"/>
        <v>4400</v>
      </c>
      <c r="P101" s="32">
        <f t="shared" si="25"/>
        <v>660</v>
      </c>
      <c r="Q101" s="32">
        <f t="shared" si="26"/>
        <v>3740</v>
      </c>
      <c r="R101" s="32">
        <f>O101*INDEX(Assumptions!$B$5:$B$8,MATCH(K101,Assumptions!$A$5:$A$8,0))</f>
        <v>2860</v>
      </c>
      <c r="S101" s="32">
        <f t="shared" si="27"/>
        <v>880</v>
      </c>
      <c r="T101" s="33">
        <f t="shared" si="28"/>
        <v>0.23529411764705882</v>
      </c>
      <c r="U101" s="34">
        <f t="shared" si="29"/>
        <v>46082</v>
      </c>
      <c r="V101" s="32">
        <f t="shared" si="30"/>
        <v>0</v>
      </c>
      <c r="W101" s="28" t="str">
        <f t="shared" si="31"/>
        <v>Same</v>
      </c>
    </row>
    <row r="102" spans="1:23" x14ac:dyDescent="0.25">
      <c r="A102" s="28" t="s">
        <v>275</v>
      </c>
      <c r="B102" s="29">
        <v>46133</v>
      </c>
      <c r="C102" s="28" t="s">
        <v>184</v>
      </c>
      <c r="D102" s="28" t="s">
        <v>178</v>
      </c>
      <c r="E102" s="28" t="s">
        <v>95</v>
      </c>
      <c r="F102" s="28" t="s">
        <v>134</v>
      </c>
      <c r="G102" s="30">
        <v>8</v>
      </c>
      <c r="H102" s="31">
        <v>0.1</v>
      </c>
      <c r="I102" s="32">
        <v>15840</v>
      </c>
      <c r="J102" s="28" t="str">
        <f>INDEX(Product_Master!$B$2:$B$11,MATCH(C102,Product_Master!$A$2:$A$11,0))</f>
        <v>Table Lamp</v>
      </c>
      <c r="K102" s="28" t="str">
        <f>INDEX(Product_Master!$C$2:$C$11,MATCH(C102,Product_Master!$A$2:$A$11,0))</f>
        <v>Furniture</v>
      </c>
      <c r="L102" s="32">
        <f>INDEX(Product_Master!$D$2:$D$11,MATCH(C102,Product_Master!$A$2:$A$11,0))</f>
        <v>2200</v>
      </c>
      <c r="M102" s="28" t="str">
        <f>INDEX(Employee_Master!$B$2:$B$9,MATCH(D102,Employee_Master!$A$2:$A$9,0))</f>
        <v>Sara</v>
      </c>
      <c r="N102" s="28" t="str">
        <f>INDEX(Employee_Master!$C$2:$C$9,MATCH(D102,Employee_Master!$A$2:$A$9,0))</f>
        <v>Lucknow</v>
      </c>
      <c r="O102" s="32">
        <f t="shared" si="24"/>
        <v>17600</v>
      </c>
      <c r="P102" s="32">
        <f t="shared" si="25"/>
        <v>1760</v>
      </c>
      <c r="Q102" s="32">
        <f t="shared" si="26"/>
        <v>15840</v>
      </c>
      <c r="R102" s="32">
        <f>O102*INDEX(Assumptions!$B$5:$B$8,MATCH(K102,Assumptions!$A$5:$A$8,0))</f>
        <v>11440</v>
      </c>
      <c r="S102" s="32">
        <f t="shared" si="27"/>
        <v>4400</v>
      </c>
      <c r="T102" s="33">
        <f t="shared" si="28"/>
        <v>0.27777777777777779</v>
      </c>
      <c r="U102" s="34">
        <f t="shared" si="29"/>
        <v>46113</v>
      </c>
      <c r="V102" s="32">
        <f t="shared" si="30"/>
        <v>0</v>
      </c>
      <c r="W102" s="28" t="str">
        <f t="shared" si="31"/>
        <v>Different</v>
      </c>
    </row>
    <row r="103" spans="1:23" x14ac:dyDescent="0.25">
      <c r="A103" s="28" t="s">
        <v>276</v>
      </c>
      <c r="B103" s="29">
        <v>46103</v>
      </c>
      <c r="C103" s="28" t="s">
        <v>184</v>
      </c>
      <c r="D103" s="28" t="s">
        <v>185</v>
      </c>
      <c r="E103" s="28" t="s">
        <v>96</v>
      </c>
      <c r="F103" s="28" t="s">
        <v>135</v>
      </c>
      <c r="G103" s="30">
        <v>2</v>
      </c>
      <c r="H103" s="31">
        <v>0.05</v>
      </c>
      <c r="I103" s="32">
        <v>4180</v>
      </c>
      <c r="J103" s="28" t="str">
        <f>INDEX(Product_Master!$B$2:$B$11,MATCH(C103,Product_Master!$A$2:$A$11,0))</f>
        <v>Table Lamp</v>
      </c>
      <c r="K103" s="28" t="str">
        <f>INDEX(Product_Master!$C$2:$C$11,MATCH(C103,Product_Master!$A$2:$A$11,0))</f>
        <v>Furniture</v>
      </c>
      <c r="L103" s="32">
        <f>INDEX(Product_Master!$D$2:$D$11,MATCH(C103,Product_Master!$A$2:$A$11,0))</f>
        <v>2200</v>
      </c>
      <c r="M103" s="28" t="str">
        <f>INDEX(Employee_Master!$B$2:$B$9,MATCH(D103,Employee_Master!$A$2:$A$9,0))</f>
        <v>Kabir</v>
      </c>
      <c r="N103" s="28" t="str">
        <f>INDEX(Employee_Master!$C$2:$C$9,MATCH(D103,Employee_Master!$A$2:$A$9,0))</f>
        <v>Lucknow</v>
      </c>
      <c r="O103" s="32">
        <f t="shared" si="24"/>
        <v>4400</v>
      </c>
      <c r="P103" s="32">
        <f t="shared" si="25"/>
        <v>220</v>
      </c>
      <c r="Q103" s="32">
        <f t="shared" si="26"/>
        <v>4180</v>
      </c>
      <c r="R103" s="32">
        <f>O103*INDEX(Assumptions!$B$5:$B$8,MATCH(K103,Assumptions!$A$5:$A$8,0))</f>
        <v>2860</v>
      </c>
      <c r="S103" s="32">
        <f t="shared" si="27"/>
        <v>1320</v>
      </c>
      <c r="T103" s="33">
        <f t="shared" si="28"/>
        <v>0.31578947368421051</v>
      </c>
      <c r="U103" s="34">
        <f t="shared" si="29"/>
        <v>46082</v>
      </c>
      <c r="V103" s="32">
        <f t="shared" si="30"/>
        <v>0</v>
      </c>
      <c r="W103" s="28" t="str">
        <f t="shared" si="31"/>
        <v>Same</v>
      </c>
    </row>
    <row r="104" spans="1:23" x14ac:dyDescent="0.25">
      <c r="A104" s="28" t="s">
        <v>277</v>
      </c>
      <c r="B104" s="29">
        <v>46093</v>
      </c>
      <c r="C104" s="28" t="s">
        <v>164</v>
      </c>
      <c r="D104" s="28" t="s">
        <v>171</v>
      </c>
      <c r="E104" s="28" t="s">
        <v>95</v>
      </c>
      <c r="F104" s="28" t="s">
        <v>132</v>
      </c>
      <c r="G104" s="30">
        <v>4</v>
      </c>
      <c r="H104" s="31">
        <v>0.05</v>
      </c>
      <c r="I104" s="32">
        <v>28500</v>
      </c>
      <c r="J104" s="28" t="str">
        <f>INDEX(Product_Master!$B$2:$B$11,MATCH(C104,Product_Master!$A$2:$A$11,0))</f>
        <v>Office Chair</v>
      </c>
      <c r="K104" s="28" t="str">
        <f>INDEX(Product_Master!$C$2:$C$11,MATCH(C104,Product_Master!$A$2:$A$11,0))</f>
        <v>Furniture</v>
      </c>
      <c r="L104" s="32">
        <f>INDEX(Product_Master!$D$2:$D$11,MATCH(C104,Product_Master!$A$2:$A$11,0))</f>
        <v>7500</v>
      </c>
      <c r="M104" s="28" t="str">
        <f>INDEX(Employee_Master!$B$2:$B$9,MATCH(D104,Employee_Master!$A$2:$A$9,0))</f>
        <v>Hamza</v>
      </c>
      <c r="N104" s="28" t="str">
        <f>INDEX(Employee_Master!$C$2:$C$9,MATCH(D104,Employee_Master!$A$2:$A$9,0))</f>
        <v>Delhi</v>
      </c>
      <c r="O104" s="32">
        <f t="shared" si="24"/>
        <v>30000</v>
      </c>
      <c r="P104" s="32">
        <f t="shared" si="25"/>
        <v>1500</v>
      </c>
      <c r="Q104" s="32">
        <f t="shared" si="26"/>
        <v>28500</v>
      </c>
      <c r="R104" s="32">
        <f>O104*INDEX(Assumptions!$B$5:$B$8,MATCH(K104,Assumptions!$A$5:$A$8,0))</f>
        <v>19500</v>
      </c>
      <c r="S104" s="32">
        <f t="shared" si="27"/>
        <v>9000</v>
      </c>
      <c r="T104" s="33">
        <f t="shared" si="28"/>
        <v>0.31578947368421051</v>
      </c>
      <c r="U104" s="34">
        <f t="shared" si="29"/>
        <v>46082</v>
      </c>
      <c r="V104" s="32">
        <f t="shared" si="30"/>
        <v>0</v>
      </c>
      <c r="W104" s="28" t="str">
        <f t="shared" si="31"/>
        <v>Same</v>
      </c>
    </row>
    <row r="105" spans="1:23" x14ac:dyDescent="0.25">
      <c r="A105" s="28" t="s">
        <v>278</v>
      </c>
      <c r="B105" s="29">
        <v>46027</v>
      </c>
      <c r="C105" s="28" t="s">
        <v>158</v>
      </c>
      <c r="D105" s="28" t="s">
        <v>175</v>
      </c>
      <c r="E105" s="28" t="s">
        <v>97</v>
      </c>
      <c r="F105" s="28" t="s">
        <v>134</v>
      </c>
      <c r="G105" s="30">
        <v>8</v>
      </c>
      <c r="H105" s="31">
        <v>0.1</v>
      </c>
      <c r="I105" s="32">
        <v>129600</v>
      </c>
      <c r="J105" s="28" t="str">
        <f>INDEX(Product_Master!$B$2:$B$11,MATCH(C105,Product_Master!$A$2:$A$11,0))</f>
        <v>Monitor</v>
      </c>
      <c r="K105" s="28" t="str">
        <f>INDEX(Product_Master!$C$2:$C$11,MATCH(C105,Product_Master!$A$2:$A$11,0))</f>
        <v>Electronics</v>
      </c>
      <c r="L105" s="32">
        <f>INDEX(Product_Master!$D$2:$D$11,MATCH(C105,Product_Master!$A$2:$A$11,0))</f>
        <v>18000</v>
      </c>
      <c r="M105" s="28" t="str">
        <f>INDEX(Employee_Master!$B$2:$B$9,MATCH(D105,Employee_Master!$A$2:$A$9,0))</f>
        <v>Arman</v>
      </c>
      <c r="N105" s="28" t="str">
        <f>INDEX(Employee_Master!$C$2:$C$9,MATCH(D105,Employee_Master!$A$2:$A$9,0))</f>
        <v>Mumbai</v>
      </c>
      <c r="O105" s="32">
        <f t="shared" si="24"/>
        <v>144000</v>
      </c>
      <c r="P105" s="32">
        <f t="shared" si="25"/>
        <v>14400</v>
      </c>
      <c r="Q105" s="32">
        <f t="shared" si="26"/>
        <v>129600</v>
      </c>
      <c r="R105" s="32">
        <f>O105*INDEX(Assumptions!$B$5:$B$8,MATCH(K105,Assumptions!$A$5:$A$8,0))</f>
        <v>108000</v>
      </c>
      <c r="S105" s="32">
        <f t="shared" si="27"/>
        <v>21600</v>
      </c>
      <c r="T105" s="33">
        <f t="shared" si="28"/>
        <v>0.16666666666666666</v>
      </c>
      <c r="U105" s="34">
        <f t="shared" si="29"/>
        <v>46023</v>
      </c>
      <c r="V105" s="32">
        <f t="shared" si="30"/>
        <v>0</v>
      </c>
      <c r="W105" s="28" t="str">
        <f t="shared" si="31"/>
        <v>Same</v>
      </c>
    </row>
    <row r="106" spans="1:23" x14ac:dyDescent="0.25">
      <c r="A106" s="28" t="s">
        <v>279</v>
      </c>
      <c r="B106" s="29">
        <v>46141</v>
      </c>
      <c r="C106" s="28" t="s">
        <v>164</v>
      </c>
      <c r="D106" s="28" t="s">
        <v>171</v>
      </c>
      <c r="E106" s="28" t="s">
        <v>95</v>
      </c>
      <c r="F106" s="28" t="s">
        <v>134</v>
      </c>
      <c r="G106" s="30">
        <v>2</v>
      </c>
      <c r="H106" s="31">
        <v>0.05</v>
      </c>
      <c r="I106" s="32">
        <v>14250</v>
      </c>
      <c r="J106" s="28" t="str">
        <f>INDEX(Product_Master!$B$2:$B$11,MATCH(C106,Product_Master!$A$2:$A$11,0))</f>
        <v>Office Chair</v>
      </c>
      <c r="K106" s="28" t="str">
        <f>INDEX(Product_Master!$C$2:$C$11,MATCH(C106,Product_Master!$A$2:$A$11,0))</f>
        <v>Furniture</v>
      </c>
      <c r="L106" s="32">
        <f>INDEX(Product_Master!$D$2:$D$11,MATCH(C106,Product_Master!$A$2:$A$11,0))</f>
        <v>7500</v>
      </c>
      <c r="M106" s="28" t="str">
        <f>INDEX(Employee_Master!$B$2:$B$9,MATCH(D106,Employee_Master!$A$2:$A$9,0))</f>
        <v>Hamza</v>
      </c>
      <c r="N106" s="28" t="str">
        <f>INDEX(Employee_Master!$C$2:$C$9,MATCH(D106,Employee_Master!$A$2:$A$9,0))</f>
        <v>Delhi</v>
      </c>
      <c r="O106" s="32">
        <f t="shared" si="24"/>
        <v>15000</v>
      </c>
      <c r="P106" s="32">
        <f t="shared" si="25"/>
        <v>750</v>
      </c>
      <c r="Q106" s="32">
        <f t="shared" si="26"/>
        <v>14250</v>
      </c>
      <c r="R106" s="32">
        <f>O106*INDEX(Assumptions!$B$5:$B$8,MATCH(K106,Assumptions!$A$5:$A$8,0))</f>
        <v>9750</v>
      </c>
      <c r="S106" s="32">
        <f t="shared" si="27"/>
        <v>4500</v>
      </c>
      <c r="T106" s="33">
        <f t="shared" si="28"/>
        <v>0.31578947368421051</v>
      </c>
      <c r="U106" s="34">
        <f t="shared" si="29"/>
        <v>46113</v>
      </c>
      <c r="V106" s="32">
        <f t="shared" si="30"/>
        <v>0</v>
      </c>
      <c r="W106" s="28" t="str">
        <f t="shared" si="31"/>
        <v>Same</v>
      </c>
    </row>
    <row r="107" spans="1:23" x14ac:dyDescent="0.25">
      <c r="A107" s="28" t="s">
        <v>280</v>
      </c>
      <c r="B107" s="29">
        <v>46128</v>
      </c>
      <c r="C107" s="28" t="s">
        <v>166</v>
      </c>
      <c r="D107" s="28" t="s">
        <v>178</v>
      </c>
      <c r="E107" s="28" t="s">
        <v>96</v>
      </c>
      <c r="F107" s="28" t="s">
        <v>132</v>
      </c>
      <c r="G107" s="30">
        <v>3</v>
      </c>
      <c r="H107" s="31">
        <v>0.1</v>
      </c>
      <c r="I107" s="32">
        <v>32400</v>
      </c>
      <c r="J107" s="28" t="str">
        <f>INDEX(Product_Master!$B$2:$B$11,MATCH(C107,Product_Master!$A$2:$A$11,0))</f>
        <v>Desk</v>
      </c>
      <c r="K107" s="28" t="str">
        <f>INDEX(Product_Master!$C$2:$C$11,MATCH(C107,Product_Master!$A$2:$A$11,0))</f>
        <v>Furniture</v>
      </c>
      <c r="L107" s="32">
        <f>INDEX(Product_Master!$D$2:$D$11,MATCH(C107,Product_Master!$A$2:$A$11,0))</f>
        <v>12000</v>
      </c>
      <c r="M107" s="28" t="str">
        <f>INDEX(Employee_Master!$B$2:$B$9,MATCH(D107,Employee_Master!$A$2:$A$9,0))</f>
        <v>Sara</v>
      </c>
      <c r="N107" s="28" t="str">
        <f>INDEX(Employee_Master!$C$2:$C$9,MATCH(D107,Employee_Master!$A$2:$A$9,0))</f>
        <v>Lucknow</v>
      </c>
      <c r="O107" s="32">
        <f t="shared" si="24"/>
        <v>36000</v>
      </c>
      <c r="P107" s="32">
        <f t="shared" si="25"/>
        <v>3600</v>
      </c>
      <c r="Q107" s="32">
        <f t="shared" si="26"/>
        <v>32400</v>
      </c>
      <c r="R107" s="32">
        <f>O107*INDEX(Assumptions!$B$5:$B$8,MATCH(K107,Assumptions!$A$5:$A$8,0))</f>
        <v>23400</v>
      </c>
      <c r="S107" s="32">
        <f t="shared" si="27"/>
        <v>9000</v>
      </c>
      <c r="T107" s="33">
        <f t="shared" si="28"/>
        <v>0.27777777777777779</v>
      </c>
      <c r="U107" s="34">
        <f t="shared" si="29"/>
        <v>46113</v>
      </c>
      <c r="V107" s="32">
        <f t="shared" si="30"/>
        <v>0</v>
      </c>
      <c r="W107" s="28" t="str">
        <f t="shared" si="31"/>
        <v>Same</v>
      </c>
    </row>
    <row r="108" spans="1:23" x14ac:dyDescent="0.25">
      <c r="A108" s="28" t="s">
        <v>281</v>
      </c>
      <c r="B108" s="29">
        <v>46038</v>
      </c>
      <c r="C108" s="28" t="s">
        <v>177</v>
      </c>
      <c r="D108" s="28" t="s">
        <v>162</v>
      </c>
      <c r="E108" s="28" t="s">
        <v>95</v>
      </c>
      <c r="F108" s="28" t="s">
        <v>133</v>
      </c>
      <c r="G108" s="30">
        <v>5</v>
      </c>
      <c r="H108" s="31">
        <v>0.15</v>
      </c>
      <c r="I108" s="32">
        <v>10625</v>
      </c>
      <c r="J108" s="28" t="str">
        <f>INDEX(Product_Master!$B$2:$B$11,MATCH(C108,Product_Master!$A$2:$A$11,0))</f>
        <v>Keyboard</v>
      </c>
      <c r="K108" s="28" t="str">
        <f>INDEX(Product_Master!$C$2:$C$11,MATCH(C108,Product_Master!$A$2:$A$11,0))</f>
        <v>Electronics</v>
      </c>
      <c r="L108" s="32">
        <f>INDEX(Product_Master!$D$2:$D$11,MATCH(C108,Product_Master!$A$2:$A$11,0))</f>
        <v>2500</v>
      </c>
      <c r="M108" s="28" t="str">
        <f>INDEX(Employee_Master!$B$2:$B$9,MATCH(D108,Employee_Master!$A$2:$A$9,0))</f>
        <v>Priya</v>
      </c>
      <c r="N108" s="28" t="str">
        <f>INDEX(Employee_Master!$C$2:$C$9,MATCH(D108,Employee_Master!$A$2:$A$9,0))</f>
        <v>Delhi</v>
      </c>
      <c r="O108" s="32">
        <f t="shared" si="24"/>
        <v>12500</v>
      </c>
      <c r="P108" s="32">
        <f t="shared" si="25"/>
        <v>1875</v>
      </c>
      <c r="Q108" s="32">
        <f t="shared" si="26"/>
        <v>10625</v>
      </c>
      <c r="R108" s="32">
        <f>O108*INDEX(Assumptions!$B$5:$B$8,MATCH(K108,Assumptions!$A$5:$A$8,0))</f>
        <v>9375</v>
      </c>
      <c r="S108" s="32">
        <f t="shared" si="27"/>
        <v>1250</v>
      </c>
      <c r="T108" s="33">
        <f t="shared" si="28"/>
        <v>0.11764705882352941</v>
      </c>
      <c r="U108" s="34">
        <f t="shared" si="29"/>
        <v>46023</v>
      </c>
      <c r="V108" s="32">
        <f t="shared" si="30"/>
        <v>0</v>
      </c>
      <c r="W108" s="28" t="str">
        <f t="shared" si="31"/>
        <v>Same</v>
      </c>
    </row>
    <row r="109" spans="1:23" x14ac:dyDescent="0.25">
      <c r="A109" s="28" t="s">
        <v>282</v>
      </c>
      <c r="B109" s="29">
        <v>46033</v>
      </c>
      <c r="C109" s="28" t="s">
        <v>182</v>
      </c>
      <c r="D109" s="28" t="s">
        <v>171</v>
      </c>
      <c r="E109" s="28" t="s">
        <v>95</v>
      </c>
      <c r="F109" s="28" t="s">
        <v>133</v>
      </c>
      <c r="G109" s="30">
        <v>8</v>
      </c>
      <c r="H109" s="31">
        <v>0.15</v>
      </c>
      <c r="I109" s="32">
        <v>12240</v>
      </c>
      <c r="J109" s="28" t="str">
        <f>INDEX(Product_Master!$B$2:$B$11,MATCH(C109,Product_Master!$A$2:$A$11,0))</f>
        <v>Backpack</v>
      </c>
      <c r="K109" s="28" t="str">
        <f>INDEX(Product_Master!$C$2:$C$11,MATCH(C109,Product_Master!$A$2:$A$11,0))</f>
        <v>Accessories</v>
      </c>
      <c r="L109" s="32">
        <f>INDEX(Product_Master!$D$2:$D$11,MATCH(C109,Product_Master!$A$2:$A$11,0))</f>
        <v>1800</v>
      </c>
      <c r="M109" s="28" t="str">
        <f>INDEX(Employee_Master!$B$2:$B$9,MATCH(D109,Employee_Master!$A$2:$A$9,0))</f>
        <v>Hamza</v>
      </c>
      <c r="N109" s="28" t="str">
        <f>INDEX(Employee_Master!$C$2:$C$9,MATCH(D109,Employee_Master!$A$2:$A$9,0))</f>
        <v>Delhi</v>
      </c>
      <c r="O109" s="32">
        <f t="shared" si="24"/>
        <v>14400</v>
      </c>
      <c r="P109" s="32">
        <f t="shared" si="25"/>
        <v>2160</v>
      </c>
      <c r="Q109" s="32">
        <f t="shared" si="26"/>
        <v>12240</v>
      </c>
      <c r="R109" s="32">
        <f>O109*INDEX(Assumptions!$B$5:$B$8,MATCH(K109,Assumptions!$A$5:$A$8,0))</f>
        <v>7920.0000000000009</v>
      </c>
      <c r="S109" s="32">
        <f t="shared" si="27"/>
        <v>4319.9999999999991</v>
      </c>
      <c r="T109" s="33">
        <f t="shared" si="28"/>
        <v>0.35294117647058815</v>
      </c>
      <c r="U109" s="34">
        <f t="shared" si="29"/>
        <v>46023</v>
      </c>
      <c r="V109" s="32">
        <f t="shared" si="30"/>
        <v>0</v>
      </c>
      <c r="W109" s="28" t="str">
        <f t="shared" si="31"/>
        <v>Same</v>
      </c>
    </row>
    <row r="110" spans="1:23" x14ac:dyDescent="0.25">
      <c r="A110" s="28" t="s">
        <v>283</v>
      </c>
      <c r="B110" s="29">
        <v>46083</v>
      </c>
      <c r="C110" s="28" t="s">
        <v>164</v>
      </c>
      <c r="D110" s="28" t="s">
        <v>159</v>
      </c>
      <c r="E110" s="28" t="s">
        <v>97</v>
      </c>
      <c r="F110" s="28" t="s">
        <v>133</v>
      </c>
      <c r="G110" s="30">
        <v>1</v>
      </c>
      <c r="H110" s="31">
        <v>0.05</v>
      </c>
      <c r="I110" s="32">
        <v>7125</v>
      </c>
      <c r="J110" s="28" t="str">
        <f>INDEX(Product_Master!$B$2:$B$11,MATCH(C110,Product_Master!$A$2:$A$11,0))</f>
        <v>Office Chair</v>
      </c>
      <c r="K110" s="28" t="str">
        <f>INDEX(Product_Master!$C$2:$C$11,MATCH(C110,Product_Master!$A$2:$A$11,0))</f>
        <v>Furniture</v>
      </c>
      <c r="L110" s="32">
        <f>INDEX(Product_Master!$D$2:$D$11,MATCH(C110,Product_Master!$A$2:$A$11,0))</f>
        <v>7500</v>
      </c>
      <c r="M110" s="28" t="str">
        <f>INDEX(Employee_Master!$B$2:$B$9,MATCH(D110,Employee_Master!$A$2:$A$9,0))</f>
        <v>Rahul</v>
      </c>
      <c r="N110" s="28" t="str">
        <f>INDEX(Employee_Master!$C$2:$C$9,MATCH(D110,Employee_Master!$A$2:$A$9,0))</f>
        <v>Lucknow</v>
      </c>
      <c r="O110" s="32">
        <f t="shared" si="24"/>
        <v>7500</v>
      </c>
      <c r="P110" s="32">
        <f t="shared" si="25"/>
        <v>375</v>
      </c>
      <c r="Q110" s="32">
        <f t="shared" si="26"/>
        <v>7125</v>
      </c>
      <c r="R110" s="32">
        <f>O110*INDEX(Assumptions!$B$5:$B$8,MATCH(K110,Assumptions!$A$5:$A$8,0))</f>
        <v>4875</v>
      </c>
      <c r="S110" s="32">
        <f t="shared" si="27"/>
        <v>2250</v>
      </c>
      <c r="T110" s="33">
        <f t="shared" si="28"/>
        <v>0.31578947368421051</v>
      </c>
      <c r="U110" s="34">
        <f t="shared" si="29"/>
        <v>46082</v>
      </c>
      <c r="V110" s="32">
        <f t="shared" si="30"/>
        <v>0</v>
      </c>
      <c r="W110" s="28" t="str">
        <f t="shared" si="31"/>
        <v>Different</v>
      </c>
    </row>
    <row r="111" spans="1:23" x14ac:dyDescent="0.25">
      <c r="A111" s="28" t="s">
        <v>284</v>
      </c>
      <c r="B111" s="29">
        <v>46083</v>
      </c>
      <c r="C111" s="28" t="s">
        <v>161</v>
      </c>
      <c r="D111" s="28" t="s">
        <v>190</v>
      </c>
      <c r="E111" s="28" t="s">
        <v>96</v>
      </c>
      <c r="F111" s="28" t="s">
        <v>134</v>
      </c>
      <c r="G111" s="30">
        <v>8</v>
      </c>
      <c r="H111" s="31">
        <v>0</v>
      </c>
      <c r="I111" s="32">
        <v>28000</v>
      </c>
      <c r="J111" s="28" t="str">
        <f>INDEX(Product_Master!$B$2:$B$11,MATCH(C111,Product_Master!$A$2:$A$11,0))</f>
        <v>Headphones</v>
      </c>
      <c r="K111" s="28" t="str">
        <f>INDEX(Product_Master!$C$2:$C$11,MATCH(C111,Product_Master!$A$2:$A$11,0))</f>
        <v>Electronics</v>
      </c>
      <c r="L111" s="32">
        <f>INDEX(Product_Master!$D$2:$D$11,MATCH(C111,Product_Master!$A$2:$A$11,0))</f>
        <v>3500</v>
      </c>
      <c r="M111" s="28" t="str">
        <f>INDEX(Employee_Master!$B$2:$B$9,MATCH(D111,Employee_Master!$A$2:$A$9,0))</f>
        <v>Sana</v>
      </c>
      <c r="N111" s="28" t="str">
        <f>INDEX(Employee_Master!$C$2:$C$9,MATCH(D111,Employee_Master!$A$2:$A$9,0))</f>
        <v>Delhi</v>
      </c>
      <c r="O111" s="32">
        <f t="shared" si="24"/>
        <v>28000</v>
      </c>
      <c r="P111" s="32">
        <f t="shared" si="25"/>
        <v>0</v>
      </c>
      <c r="Q111" s="32">
        <f t="shared" si="26"/>
        <v>28000</v>
      </c>
      <c r="R111" s="32">
        <f>O111*INDEX(Assumptions!$B$5:$B$8,MATCH(K111,Assumptions!$A$5:$A$8,0))</f>
        <v>21000</v>
      </c>
      <c r="S111" s="32">
        <f t="shared" si="27"/>
        <v>7000</v>
      </c>
      <c r="T111" s="33">
        <f t="shared" si="28"/>
        <v>0.25</v>
      </c>
      <c r="U111" s="34">
        <f t="shared" si="29"/>
        <v>46082</v>
      </c>
      <c r="V111" s="32">
        <f t="shared" si="30"/>
        <v>0</v>
      </c>
      <c r="W111" s="28" t="str">
        <f t="shared" si="31"/>
        <v>Different</v>
      </c>
    </row>
    <row r="112" spans="1:23" x14ac:dyDescent="0.25">
      <c r="A112" s="28" t="s">
        <v>285</v>
      </c>
      <c r="B112" s="29">
        <v>46075</v>
      </c>
      <c r="C112" s="28" t="s">
        <v>170</v>
      </c>
      <c r="D112" s="28" t="s">
        <v>185</v>
      </c>
      <c r="E112" s="28" t="s">
        <v>96</v>
      </c>
      <c r="F112" s="28" t="s">
        <v>135</v>
      </c>
      <c r="G112" s="30">
        <v>3</v>
      </c>
      <c r="H112" s="31">
        <v>0.1</v>
      </c>
      <c r="I112" s="32">
        <v>3240</v>
      </c>
      <c r="J112" s="28" t="str">
        <f>INDEX(Product_Master!$B$2:$B$11,MATCH(C112,Product_Master!$A$2:$A$11,0))</f>
        <v>T-Shirt</v>
      </c>
      <c r="K112" s="28" t="str">
        <f>INDEX(Product_Master!$C$2:$C$11,MATCH(C112,Product_Master!$A$2:$A$11,0))</f>
        <v>Clothing</v>
      </c>
      <c r="L112" s="32">
        <f>INDEX(Product_Master!$D$2:$D$11,MATCH(C112,Product_Master!$A$2:$A$11,0))</f>
        <v>1200</v>
      </c>
      <c r="M112" s="28" t="str">
        <f>INDEX(Employee_Master!$B$2:$B$9,MATCH(D112,Employee_Master!$A$2:$A$9,0))</f>
        <v>Kabir</v>
      </c>
      <c r="N112" s="28" t="str">
        <f>INDEX(Employee_Master!$C$2:$C$9,MATCH(D112,Employee_Master!$A$2:$A$9,0))</f>
        <v>Lucknow</v>
      </c>
      <c r="O112" s="32">
        <f t="shared" si="24"/>
        <v>3600</v>
      </c>
      <c r="P112" s="32">
        <f t="shared" si="25"/>
        <v>360</v>
      </c>
      <c r="Q112" s="32">
        <f t="shared" si="26"/>
        <v>3240</v>
      </c>
      <c r="R112" s="32">
        <f>O112*INDEX(Assumptions!$B$5:$B$8,MATCH(K112,Assumptions!$A$5:$A$8,0))</f>
        <v>1800</v>
      </c>
      <c r="S112" s="32">
        <f t="shared" si="27"/>
        <v>1440</v>
      </c>
      <c r="T112" s="33">
        <f t="shared" si="28"/>
        <v>0.44444444444444442</v>
      </c>
      <c r="U112" s="34">
        <f t="shared" si="29"/>
        <v>46054</v>
      </c>
      <c r="V112" s="32">
        <f t="shared" si="30"/>
        <v>0</v>
      </c>
      <c r="W112" s="28" t="str">
        <f t="shared" si="31"/>
        <v>Same</v>
      </c>
    </row>
    <row r="113" spans="1:23" x14ac:dyDescent="0.25">
      <c r="A113" s="28" t="s">
        <v>286</v>
      </c>
      <c r="B113" s="29">
        <v>46034</v>
      </c>
      <c r="C113" s="28" t="s">
        <v>182</v>
      </c>
      <c r="D113" s="28" t="s">
        <v>171</v>
      </c>
      <c r="E113" s="28" t="s">
        <v>95</v>
      </c>
      <c r="F113" s="28" t="s">
        <v>134</v>
      </c>
      <c r="G113" s="30">
        <v>1</v>
      </c>
      <c r="H113" s="31">
        <v>0.15</v>
      </c>
      <c r="I113" s="32">
        <v>1530</v>
      </c>
      <c r="J113" s="28" t="str">
        <f>INDEX(Product_Master!$B$2:$B$11,MATCH(C113,Product_Master!$A$2:$A$11,0))</f>
        <v>Backpack</v>
      </c>
      <c r="K113" s="28" t="str">
        <f>INDEX(Product_Master!$C$2:$C$11,MATCH(C113,Product_Master!$A$2:$A$11,0))</f>
        <v>Accessories</v>
      </c>
      <c r="L113" s="32">
        <f>INDEX(Product_Master!$D$2:$D$11,MATCH(C113,Product_Master!$A$2:$A$11,0))</f>
        <v>1800</v>
      </c>
      <c r="M113" s="28" t="str">
        <f>INDEX(Employee_Master!$B$2:$B$9,MATCH(D113,Employee_Master!$A$2:$A$9,0))</f>
        <v>Hamza</v>
      </c>
      <c r="N113" s="28" t="str">
        <f>INDEX(Employee_Master!$C$2:$C$9,MATCH(D113,Employee_Master!$A$2:$A$9,0))</f>
        <v>Delhi</v>
      </c>
      <c r="O113" s="32">
        <f t="shared" si="24"/>
        <v>1800</v>
      </c>
      <c r="P113" s="32">
        <f t="shared" si="25"/>
        <v>270</v>
      </c>
      <c r="Q113" s="32">
        <f t="shared" si="26"/>
        <v>1530</v>
      </c>
      <c r="R113" s="32">
        <f>O113*INDEX(Assumptions!$B$5:$B$8,MATCH(K113,Assumptions!$A$5:$A$8,0))</f>
        <v>990.00000000000011</v>
      </c>
      <c r="S113" s="32">
        <f t="shared" si="27"/>
        <v>539.99999999999989</v>
      </c>
      <c r="T113" s="33">
        <f t="shared" si="28"/>
        <v>0.35294117647058815</v>
      </c>
      <c r="U113" s="34">
        <f t="shared" si="29"/>
        <v>46023</v>
      </c>
      <c r="V113" s="32">
        <f t="shared" si="30"/>
        <v>0</v>
      </c>
      <c r="W113" s="28" t="str">
        <f t="shared" si="31"/>
        <v>Same</v>
      </c>
    </row>
    <row r="114" spans="1:23" x14ac:dyDescent="0.25">
      <c r="A114" s="28" t="s">
        <v>287</v>
      </c>
      <c r="B114" s="29">
        <v>46075</v>
      </c>
      <c r="C114" s="28" t="s">
        <v>170</v>
      </c>
      <c r="D114" s="28" t="s">
        <v>171</v>
      </c>
      <c r="E114" s="28" t="s">
        <v>95</v>
      </c>
      <c r="F114" s="28" t="s">
        <v>134</v>
      </c>
      <c r="G114" s="30">
        <v>1</v>
      </c>
      <c r="H114" s="31">
        <v>0.15</v>
      </c>
      <c r="I114" s="32">
        <v>1020</v>
      </c>
      <c r="J114" s="28" t="str">
        <f>INDEX(Product_Master!$B$2:$B$11,MATCH(C114,Product_Master!$A$2:$A$11,0))</f>
        <v>T-Shirt</v>
      </c>
      <c r="K114" s="28" t="str">
        <f>INDEX(Product_Master!$C$2:$C$11,MATCH(C114,Product_Master!$A$2:$A$11,0))</f>
        <v>Clothing</v>
      </c>
      <c r="L114" s="32">
        <f>INDEX(Product_Master!$D$2:$D$11,MATCH(C114,Product_Master!$A$2:$A$11,0))</f>
        <v>1200</v>
      </c>
      <c r="M114" s="28" t="str">
        <f>INDEX(Employee_Master!$B$2:$B$9,MATCH(D114,Employee_Master!$A$2:$A$9,0))</f>
        <v>Hamza</v>
      </c>
      <c r="N114" s="28" t="str">
        <f>INDEX(Employee_Master!$C$2:$C$9,MATCH(D114,Employee_Master!$A$2:$A$9,0))</f>
        <v>Delhi</v>
      </c>
      <c r="O114" s="32">
        <f t="shared" si="24"/>
        <v>1200</v>
      </c>
      <c r="P114" s="32">
        <f t="shared" si="25"/>
        <v>180</v>
      </c>
      <c r="Q114" s="32">
        <f t="shared" si="26"/>
        <v>1020</v>
      </c>
      <c r="R114" s="32">
        <f>O114*INDEX(Assumptions!$B$5:$B$8,MATCH(K114,Assumptions!$A$5:$A$8,0))</f>
        <v>600</v>
      </c>
      <c r="S114" s="32">
        <f t="shared" si="27"/>
        <v>420</v>
      </c>
      <c r="T114" s="33">
        <f t="shared" si="28"/>
        <v>0.41176470588235292</v>
      </c>
      <c r="U114" s="34">
        <f t="shared" si="29"/>
        <v>46054</v>
      </c>
      <c r="V114" s="32">
        <f t="shared" si="30"/>
        <v>0</v>
      </c>
      <c r="W114" s="28" t="str">
        <f t="shared" si="31"/>
        <v>Same</v>
      </c>
    </row>
    <row r="115" spans="1:23" x14ac:dyDescent="0.25">
      <c r="A115" s="28" t="s">
        <v>288</v>
      </c>
      <c r="B115" s="29">
        <v>46049</v>
      </c>
      <c r="C115" s="28" t="s">
        <v>187</v>
      </c>
      <c r="D115" s="28" t="s">
        <v>178</v>
      </c>
      <c r="E115" s="28" t="s">
        <v>96</v>
      </c>
      <c r="F115" s="28" t="s">
        <v>134</v>
      </c>
      <c r="G115" s="30">
        <v>8</v>
      </c>
      <c r="H115" s="31">
        <v>0</v>
      </c>
      <c r="I115" s="32">
        <v>440000</v>
      </c>
      <c r="J115" s="28" t="str">
        <f>INDEX(Product_Master!$B$2:$B$11,MATCH(C115,Product_Master!$A$2:$A$11,0))</f>
        <v>Laptop</v>
      </c>
      <c r="K115" s="28" t="str">
        <f>INDEX(Product_Master!$C$2:$C$11,MATCH(C115,Product_Master!$A$2:$A$11,0))</f>
        <v>Electronics</v>
      </c>
      <c r="L115" s="32">
        <f>INDEX(Product_Master!$D$2:$D$11,MATCH(C115,Product_Master!$A$2:$A$11,0))</f>
        <v>55000</v>
      </c>
      <c r="M115" s="28" t="str">
        <f>INDEX(Employee_Master!$B$2:$B$9,MATCH(D115,Employee_Master!$A$2:$A$9,0))</f>
        <v>Sara</v>
      </c>
      <c r="N115" s="28" t="str">
        <f>INDEX(Employee_Master!$C$2:$C$9,MATCH(D115,Employee_Master!$A$2:$A$9,0))</f>
        <v>Lucknow</v>
      </c>
      <c r="O115" s="32">
        <f t="shared" si="24"/>
        <v>440000</v>
      </c>
      <c r="P115" s="32">
        <f t="shared" si="25"/>
        <v>0</v>
      </c>
      <c r="Q115" s="32">
        <f t="shared" si="26"/>
        <v>440000</v>
      </c>
      <c r="R115" s="32">
        <f>O115*INDEX(Assumptions!$B$5:$B$8,MATCH(K115,Assumptions!$A$5:$A$8,0))</f>
        <v>330000</v>
      </c>
      <c r="S115" s="32">
        <f t="shared" si="27"/>
        <v>110000</v>
      </c>
      <c r="T115" s="33">
        <f t="shared" si="28"/>
        <v>0.25</v>
      </c>
      <c r="U115" s="34">
        <f t="shared" si="29"/>
        <v>46023</v>
      </c>
      <c r="V115" s="32">
        <f t="shared" si="30"/>
        <v>0</v>
      </c>
      <c r="W115" s="28" t="str">
        <f t="shared" si="31"/>
        <v>Same</v>
      </c>
    </row>
    <row r="116" spans="1:23" x14ac:dyDescent="0.25">
      <c r="A116" s="28" t="s">
        <v>289</v>
      </c>
      <c r="B116" s="29">
        <v>46103</v>
      </c>
      <c r="C116" s="28" t="s">
        <v>166</v>
      </c>
      <c r="D116" s="28" t="s">
        <v>175</v>
      </c>
      <c r="E116" s="28" t="s">
        <v>95</v>
      </c>
      <c r="F116" s="28" t="s">
        <v>134</v>
      </c>
      <c r="G116" s="30">
        <v>2</v>
      </c>
      <c r="H116" s="31">
        <v>0</v>
      </c>
      <c r="I116" s="32">
        <v>24000</v>
      </c>
      <c r="J116" s="28" t="str">
        <f>INDEX(Product_Master!$B$2:$B$11,MATCH(C116,Product_Master!$A$2:$A$11,0))</f>
        <v>Desk</v>
      </c>
      <c r="K116" s="28" t="str">
        <f>INDEX(Product_Master!$C$2:$C$11,MATCH(C116,Product_Master!$A$2:$A$11,0))</f>
        <v>Furniture</v>
      </c>
      <c r="L116" s="32">
        <f>INDEX(Product_Master!$D$2:$D$11,MATCH(C116,Product_Master!$A$2:$A$11,0))</f>
        <v>12000</v>
      </c>
      <c r="M116" s="28" t="str">
        <f>INDEX(Employee_Master!$B$2:$B$9,MATCH(D116,Employee_Master!$A$2:$A$9,0))</f>
        <v>Arman</v>
      </c>
      <c r="N116" s="28" t="str">
        <f>INDEX(Employee_Master!$C$2:$C$9,MATCH(D116,Employee_Master!$A$2:$A$9,0))</f>
        <v>Mumbai</v>
      </c>
      <c r="O116" s="32">
        <f t="shared" si="24"/>
        <v>24000</v>
      </c>
      <c r="P116" s="32">
        <f t="shared" si="25"/>
        <v>0</v>
      </c>
      <c r="Q116" s="32">
        <f t="shared" si="26"/>
        <v>24000</v>
      </c>
      <c r="R116" s="32">
        <f>O116*INDEX(Assumptions!$B$5:$B$8,MATCH(K116,Assumptions!$A$5:$A$8,0))</f>
        <v>15600</v>
      </c>
      <c r="S116" s="32">
        <f t="shared" si="27"/>
        <v>8400</v>
      </c>
      <c r="T116" s="33">
        <f t="shared" si="28"/>
        <v>0.35</v>
      </c>
      <c r="U116" s="34">
        <f t="shared" si="29"/>
        <v>46082</v>
      </c>
      <c r="V116" s="32">
        <f t="shared" si="30"/>
        <v>0</v>
      </c>
      <c r="W116" s="28" t="str">
        <f t="shared" si="31"/>
        <v>Different</v>
      </c>
    </row>
    <row r="117" spans="1:23" x14ac:dyDescent="0.25">
      <c r="A117" s="28" t="s">
        <v>290</v>
      </c>
      <c r="B117" s="29">
        <v>46034</v>
      </c>
      <c r="C117" s="28" t="s">
        <v>184</v>
      </c>
      <c r="D117" s="28" t="s">
        <v>178</v>
      </c>
      <c r="E117" s="28" t="s">
        <v>96</v>
      </c>
      <c r="F117" s="28" t="s">
        <v>133</v>
      </c>
      <c r="G117" s="30">
        <v>1</v>
      </c>
      <c r="H117" s="31">
        <v>0.15</v>
      </c>
      <c r="I117" s="32">
        <v>1870</v>
      </c>
      <c r="J117" s="28" t="str">
        <f>INDEX(Product_Master!$B$2:$B$11,MATCH(C117,Product_Master!$A$2:$A$11,0))</f>
        <v>Table Lamp</v>
      </c>
      <c r="K117" s="28" t="str">
        <f>INDEX(Product_Master!$C$2:$C$11,MATCH(C117,Product_Master!$A$2:$A$11,0))</f>
        <v>Furniture</v>
      </c>
      <c r="L117" s="32">
        <f>INDEX(Product_Master!$D$2:$D$11,MATCH(C117,Product_Master!$A$2:$A$11,0))</f>
        <v>2200</v>
      </c>
      <c r="M117" s="28" t="str">
        <f>INDEX(Employee_Master!$B$2:$B$9,MATCH(D117,Employee_Master!$A$2:$A$9,0))</f>
        <v>Sara</v>
      </c>
      <c r="N117" s="28" t="str">
        <f>INDEX(Employee_Master!$C$2:$C$9,MATCH(D117,Employee_Master!$A$2:$A$9,0))</f>
        <v>Lucknow</v>
      </c>
      <c r="O117" s="32">
        <f t="shared" si="24"/>
        <v>2200</v>
      </c>
      <c r="P117" s="32">
        <f t="shared" si="25"/>
        <v>330</v>
      </c>
      <c r="Q117" s="32">
        <f t="shared" si="26"/>
        <v>1870</v>
      </c>
      <c r="R117" s="32">
        <f>O117*INDEX(Assumptions!$B$5:$B$8,MATCH(K117,Assumptions!$A$5:$A$8,0))</f>
        <v>1430</v>
      </c>
      <c r="S117" s="32">
        <f t="shared" si="27"/>
        <v>440</v>
      </c>
      <c r="T117" s="33">
        <f t="shared" si="28"/>
        <v>0.23529411764705882</v>
      </c>
      <c r="U117" s="34">
        <f t="shared" si="29"/>
        <v>46023</v>
      </c>
      <c r="V117" s="32">
        <f t="shared" si="30"/>
        <v>0</v>
      </c>
      <c r="W117" s="28" t="str">
        <f t="shared" si="31"/>
        <v>Same</v>
      </c>
    </row>
    <row r="118" spans="1:23" x14ac:dyDescent="0.25">
      <c r="A118" s="28" t="s">
        <v>291</v>
      </c>
      <c r="B118" s="29">
        <v>46142</v>
      </c>
      <c r="C118" s="28" t="s">
        <v>164</v>
      </c>
      <c r="D118" s="28" t="s">
        <v>162</v>
      </c>
      <c r="E118" s="28" t="s">
        <v>95</v>
      </c>
      <c r="F118" s="28" t="s">
        <v>135</v>
      </c>
      <c r="G118" s="30">
        <v>3</v>
      </c>
      <c r="H118" s="31">
        <v>0.15</v>
      </c>
      <c r="I118" s="32">
        <v>19125</v>
      </c>
      <c r="J118" s="28" t="str">
        <f>INDEX(Product_Master!$B$2:$B$11,MATCH(C118,Product_Master!$A$2:$A$11,0))</f>
        <v>Office Chair</v>
      </c>
      <c r="K118" s="28" t="str">
        <f>INDEX(Product_Master!$C$2:$C$11,MATCH(C118,Product_Master!$A$2:$A$11,0))</f>
        <v>Furniture</v>
      </c>
      <c r="L118" s="32">
        <f>INDEX(Product_Master!$D$2:$D$11,MATCH(C118,Product_Master!$A$2:$A$11,0))</f>
        <v>7500</v>
      </c>
      <c r="M118" s="28" t="str">
        <f>INDEX(Employee_Master!$B$2:$B$9,MATCH(D118,Employee_Master!$A$2:$A$9,0))</f>
        <v>Priya</v>
      </c>
      <c r="N118" s="28" t="str">
        <f>INDEX(Employee_Master!$C$2:$C$9,MATCH(D118,Employee_Master!$A$2:$A$9,0))</f>
        <v>Delhi</v>
      </c>
      <c r="O118" s="32">
        <f t="shared" si="24"/>
        <v>22500</v>
      </c>
      <c r="P118" s="32">
        <f t="shared" si="25"/>
        <v>3375</v>
      </c>
      <c r="Q118" s="32">
        <f t="shared" si="26"/>
        <v>19125</v>
      </c>
      <c r="R118" s="32">
        <f>O118*INDEX(Assumptions!$B$5:$B$8,MATCH(K118,Assumptions!$A$5:$A$8,0))</f>
        <v>14625</v>
      </c>
      <c r="S118" s="32">
        <f t="shared" si="27"/>
        <v>4500</v>
      </c>
      <c r="T118" s="33">
        <f t="shared" si="28"/>
        <v>0.23529411764705882</v>
      </c>
      <c r="U118" s="34">
        <f t="shared" si="29"/>
        <v>46113</v>
      </c>
      <c r="V118" s="32">
        <f t="shared" si="30"/>
        <v>0</v>
      </c>
      <c r="W118" s="28" t="str">
        <f t="shared" si="31"/>
        <v>Same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D57"/>
  <sheetViews>
    <sheetView showGridLines="0" zoomScaleNormal="100" workbookViewId="0">
      <pane ySplit="3" topLeftCell="A25" activePane="bottomLeft" state="frozen"/>
      <selection pane="bottomLeft"/>
    </sheetView>
  </sheetViews>
  <sheetFormatPr defaultColWidth="8.7109375" defaultRowHeight="15" x14ac:dyDescent="0.25"/>
  <cols>
    <col min="1" max="1" width="52" customWidth="1"/>
    <col min="2" max="2" width="22" customWidth="1"/>
    <col min="3" max="3" width="18" customWidth="1"/>
    <col min="4" max="4" width="60" customWidth="1"/>
  </cols>
  <sheetData>
    <row r="1" spans="1:4" ht="20.25" x14ac:dyDescent="0.3">
      <c r="A1" s="3" t="s">
        <v>3</v>
      </c>
    </row>
    <row r="2" spans="1:4" x14ac:dyDescent="0.25">
      <c r="A2" s="4" t="s">
        <v>4</v>
      </c>
    </row>
    <row r="4" spans="1:4" ht="15.75" x14ac:dyDescent="0.25">
      <c r="A4" s="5" t="s">
        <v>5</v>
      </c>
    </row>
    <row r="5" spans="1:4" x14ac:dyDescent="0.25">
      <c r="A5" s="2" t="s">
        <v>6</v>
      </c>
      <c r="B5" s="2" t="s">
        <v>7</v>
      </c>
      <c r="C5" s="2"/>
      <c r="D5" s="2" t="s">
        <v>8</v>
      </c>
    </row>
    <row r="6" spans="1:4" x14ac:dyDescent="0.25">
      <c r="A6" s="6" t="s">
        <v>9</v>
      </c>
      <c r="B6" s="7">
        <f>COUNTA(Raw_Data!$A$2:$A$121)</f>
        <v>120</v>
      </c>
      <c r="D6" s="8" t="s">
        <v>10</v>
      </c>
    </row>
    <row r="7" spans="1:4" x14ac:dyDescent="0.25">
      <c r="A7" s="6" t="s">
        <v>11</v>
      </c>
      <c r="B7" s="7">
        <f>B6-B8</f>
        <v>3</v>
      </c>
      <c r="D7" s="8" t="s">
        <v>12</v>
      </c>
    </row>
    <row r="8" spans="1:4" x14ac:dyDescent="0.25">
      <c r="A8" s="6" t="s">
        <v>13</v>
      </c>
      <c r="B8" s="7">
        <f>COUNTA(Clean_Data!$A$2:$A$118)</f>
        <v>117</v>
      </c>
      <c r="D8" s="8" t="s">
        <v>14</v>
      </c>
    </row>
    <row r="9" spans="1:4" x14ac:dyDescent="0.25">
      <c r="A9" s="6" t="s">
        <v>15</v>
      </c>
      <c r="B9" s="9">
        <f>MIN(Clean_Data!$B$2:$B$118)</f>
        <v>46023</v>
      </c>
      <c r="D9" s="8" t="s">
        <v>16</v>
      </c>
    </row>
    <row r="10" spans="1:4" x14ac:dyDescent="0.25">
      <c r="A10" s="6" t="s">
        <v>17</v>
      </c>
      <c r="B10" s="9">
        <f>MAX(Clean_Data!$B$2:$B$118)</f>
        <v>46142</v>
      </c>
      <c r="D10" s="8" t="s">
        <v>18</v>
      </c>
    </row>
    <row r="11" spans="1:4" x14ac:dyDescent="0.25">
      <c r="A11" s="6" t="s">
        <v>19</v>
      </c>
      <c r="B11" s="7">
        <f>SUM(Clean_Data!$G$2:$G$118)</f>
        <v>546</v>
      </c>
      <c r="D11" s="8" t="s">
        <v>20</v>
      </c>
    </row>
    <row r="12" spans="1:4" x14ac:dyDescent="0.25">
      <c r="A12" s="6" t="s">
        <v>21</v>
      </c>
      <c r="B12" s="10">
        <f>SUM(Clean_Data!$O$2:$O$118)</f>
        <v>4053000</v>
      </c>
      <c r="D12" s="8" t="s">
        <v>22</v>
      </c>
    </row>
    <row r="13" spans="1:4" x14ac:dyDescent="0.25">
      <c r="A13" s="6" t="s">
        <v>23</v>
      </c>
      <c r="B13" s="10">
        <f>SUM(Clean_Data!$P$2:$P$118)</f>
        <v>243480</v>
      </c>
      <c r="D13" s="8" t="s">
        <v>24</v>
      </c>
    </row>
    <row r="14" spans="1:4" x14ac:dyDescent="0.25">
      <c r="A14" s="6" t="s">
        <v>25</v>
      </c>
      <c r="B14" s="10">
        <f>SUM(Clean_Data!$Q$2:$Q$118)</f>
        <v>3809520</v>
      </c>
      <c r="D14" s="8" t="s">
        <v>26</v>
      </c>
    </row>
    <row r="15" spans="1:4" x14ac:dyDescent="0.25">
      <c r="A15" s="6" t="s">
        <v>27</v>
      </c>
      <c r="B15" s="10">
        <f>SUM(Clean_Data!$R$2:$R$118)</f>
        <v>2838400</v>
      </c>
      <c r="D15" s="8" t="s">
        <v>28</v>
      </c>
    </row>
    <row r="16" spans="1:4" x14ac:dyDescent="0.25">
      <c r="A16" s="6" t="s">
        <v>29</v>
      </c>
      <c r="B16" s="10">
        <f>SUM(Clean_Data!$S$2:$S$118)</f>
        <v>971120</v>
      </c>
      <c r="D16" s="8" t="s">
        <v>30</v>
      </c>
    </row>
    <row r="17" spans="1:4" x14ac:dyDescent="0.25">
      <c r="A17" s="6" t="s">
        <v>31</v>
      </c>
      <c r="B17" s="11">
        <f>IF(B14=0,0,B16/B14)</f>
        <v>0.25491925491925493</v>
      </c>
      <c r="D17" s="8" t="s">
        <v>32</v>
      </c>
    </row>
    <row r="18" spans="1:4" x14ac:dyDescent="0.25">
      <c r="A18" s="6" t="s">
        <v>33</v>
      </c>
      <c r="B18" s="10">
        <f>AVERAGE(Clean_Data!$Q$2:$Q$118)</f>
        <v>32560</v>
      </c>
      <c r="D18" s="8" t="s">
        <v>34</v>
      </c>
    </row>
    <row r="19" spans="1:4" x14ac:dyDescent="0.25">
      <c r="A19" s="6" t="s">
        <v>35</v>
      </c>
      <c r="B19" s="12">
        <f>AVERAGE(Clean_Data!$G$2:$G$118)</f>
        <v>4.666666666666667</v>
      </c>
      <c r="D19" s="8" t="s">
        <v>36</v>
      </c>
    </row>
    <row r="20" spans="1:4" x14ac:dyDescent="0.25">
      <c r="A20" s="6" t="s">
        <v>37</v>
      </c>
      <c r="B20" s="11">
        <f>AVERAGE(Clean_Data!$H$2:$H$118)</f>
        <v>7.8632478632478617E-2</v>
      </c>
      <c r="D20" s="8" t="s">
        <v>38</v>
      </c>
    </row>
    <row r="21" spans="1:4" x14ac:dyDescent="0.25">
      <c r="A21" s="6" t="s">
        <v>39</v>
      </c>
      <c r="B21" s="11">
        <f>IF(B12=0,0,B13/B12)</f>
        <v>6.0074019245003704E-2</v>
      </c>
      <c r="D21" s="8" t="s">
        <v>40</v>
      </c>
    </row>
    <row r="24" spans="1:4" ht="15.75" x14ac:dyDescent="0.25">
      <c r="A24" s="5" t="s">
        <v>41</v>
      </c>
    </row>
    <row r="25" spans="1:4" x14ac:dyDescent="0.25">
      <c r="A25" s="2" t="s">
        <v>42</v>
      </c>
      <c r="B25" s="2" t="s">
        <v>43</v>
      </c>
      <c r="C25" s="2" t="s">
        <v>7</v>
      </c>
      <c r="D25" s="2" t="s">
        <v>44</v>
      </c>
    </row>
    <row r="26" spans="1:4" x14ac:dyDescent="0.25">
      <c r="A26" s="6" t="s">
        <v>45</v>
      </c>
      <c r="B26" s="13" t="str">
        <f>INDEX(Pivot_Analysis!$A$23:$A$32,MATCH(MAX(Pivot_Analysis!$E$23:$E$32),Pivot_Analysis!$E$23:$E$32,0))</f>
        <v>Laptop</v>
      </c>
      <c r="C26" s="10">
        <f>MAX(Pivot_Analysis!$E$23:$E$32)</f>
        <v>1391500</v>
      </c>
      <c r="D26" s="8" t="s">
        <v>46</v>
      </c>
    </row>
    <row r="27" spans="1:4" x14ac:dyDescent="0.25">
      <c r="A27" s="6" t="s">
        <v>47</v>
      </c>
      <c r="B27" s="13" t="str">
        <f>INDEX(Pivot_Analysis!$A$23:$A$32,MATCH(MIN(Pivot_Analysis!$E$23:$E$32),Pivot_Analysis!$E$23:$E$32,0))</f>
        <v>T-Shirt</v>
      </c>
      <c r="C27" s="10">
        <f>MIN(Pivot_Analysis!$E$23:$E$32)</f>
        <v>74460</v>
      </c>
      <c r="D27" s="8" t="s">
        <v>48</v>
      </c>
    </row>
    <row r="28" spans="1:4" x14ac:dyDescent="0.25">
      <c r="A28" s="6" t="s">
        <v>49</v>
      </c>
      <c r="B28" s="13" t="str">
        <f>INDEX(Pivot_Analysis!$A$38:$A$45,MATCH(MAX(Pivot_Analysis!$E$38:$E$45),Pivot_Analysis!$E$38:$E$45,0))</f>
        <v>Priya</v>
      </c>
      <c r="C28" s="10">
        <f>MAX(Pivot_Analysis!$E$38:$E$45)</f>
        <v>809345</v>
      </c>
      <c r="D28" s="8" t="s">
        <v>50</v>
      </c>
    </row>
    <row r="29" spans="1:4" x14ac:dyDescent="0.25">
      <c r="A29" s="6" t="s">
        <v>51</v>
      </c>
      <c r="B29" s="13" t="str">
        <f>INDEX(Pivot_Analysis!$A$6:$A$8,MATCH(MAX(Pivot_Analysis!$E$6:$E$8),Pivot_Analysis!$E$6:$E$8,0))</f>
        <v>Delhi</v>
      </c>
      <c r="C29" s="10">
        <f>MAX(Pivot_Analysis!$E$6:$E$8)</f>
        <v>1818000</v>
      </c>
      <c r="D29" s="8" t="s">
        <v>50</v>
      </c>
    </row>
    <row r="30" spans="1:4" x14ac:dyDescent="0.25">
      <c r="A30" s="6" t="s">
        <v>52</v>
      </c>
      <c r="B30" s="13" t="str">
        <f>INDEX(Pivot_Analysis!$A$14:$A$17,MATCH(MAX(Pivot_Analysis!$E$14:$E$17),Pivot_Analysis!$E$14:$E$17,0))</f>
        <v>Electronics</v>
      </c>
      <c r="C30" s="10">
        <f>MAX(Pivot_Analysis!$E$14:$E$17)</f>
        <v>2352425</v>
      </c>
      <c r="D30" s="8" t="s">
        <v>50</v>
      </c>
    </row>
    <row r="31" spans="1:4" x14ac:dyDescent="0.25">
      <c r="A31" s="6" t="s">
        <v>53</v>
      </c>
      <c r="B31" s="13" t="str">
        <f>INDEX(Pivot_Analysis!$A$14:$A$17,MATCH(MAX(Pivot_Analysis!$F$14:$F$17),Pivot_Analysis!$F$14:$F$17,0))</f>
        <v>Electronics</v>
      </c>
      <c r="C31" s="10">
        <f>MAX(Pivot_Analysis!$F$14:$F$17)</f>
        <v>510050</v>
      </c>
      <c r="D31" s="8" t="s">
        <v>54</v>
      </c>
    </row>
    <row r="32" spans="1:4" x14ac:dyDescent="0.25">
      <c r="A32" s="6" t="s">
        <v>55</v>
      </c>
      <c r="B32" s="13" t="str">
        <f>TEXT(INDEX(Pivot_Analysis!$A$51:$A$54,MATCH(MAX(Pivot_Analysis!$E$51:$E$54),Pivot_Analysis!$E$51:$E$54,0)),"mmm yyyy")</f>
        <v>Jan 2026</v>
      </c>
      <c r="C32" s="10">
        <f>MAX(Pivot_Analysis!$E$51:$E$54)</f>
        <v>1307050</v>
      </c>
      <c r="D32" s="8" t="s">
        <v>50</v>
      </c>
    </row>
    <row r="33" spans="1:4" x14ac:dyDescent="0.25">
      <c r="A33" s="6" t="s">
        <v>56</v>
      </c>
      <c r="B33" s="13" t="str">
        <f>TEXT(INDEX(Pivot_Analysis!$A$51:$A$54,MATCH(MIN(Pivot_Analysis!$E$51:$E$54),Pivot_Analysis!$E$51:$E$54,0)),"mmm yyyy")</f>
        <v>Apr 2026</v>
      </c>
      <c r="C33" s="10">
        <f>MIN(Pivot_Analysis!$E$51:$E$54)</f>
        <v>456040</v>
      </c>
      <c r="D33" s="8" t="s">
        <v>48</v>
      </c>
    </row>
    <row r="34" spans="1:4" x14ac:dyDescent="0.25">
      <c r="A34" s="6" t="s">
        <v>57</v>
      </c>
      <c r="B34" s="13" t="str">
        <f>INDEX(Pivot_Analysis!$A$69:$A$71,SUMPRODUCT((Pivot_Analysis!$B$69:$E$71=MAX(Pivot_Analysis!$B$69:$E$71))*(ROW(Pivot_Analysis!$B$69:$E$71)-68)))&amp;" - "&amp;INDEX(Pivot_Analysis!$B$68:$E$68,SUMPRODUCT((Pivot_Analysis!$B$69:$E$71=MAX(Pivot_Analysis!$B$69:$E$71))*(COLUMN(Pivot_Analysis!$B$69:$E$71)-1)))</f>
        <v>Delhi - Electronics</v>
      </c>
      <c r="C34" s="10">
        <f>MAX(Pivot_Analysis!$B$69:$E$71)</f>
        <v>1298150</v>
      </c>
      <c r="D34" s="8" t="s">
        <v>58</v>
      </c>
    </row>
    <row r="35" spans="1:4" x14ac:dyDescent="0.25">
      <c r="A35" s="6" t="s">
        <v>59</v>
      </c>
      <c r="B35" s="13"/>
      <c r="C35" s="7">
        <f>COUNTIFS(Clean_Data!$H$2:$H$118,"&gt;=0.1")</f>
        <v>59</v>
      </c>
      <c r="D35" s="8" t="s">
        <v>60</v>
      </c>
    </row>
    <row r="36" spans="1:4" x14ac:dyDescent="0.25">
      <c r="A36" s="6" t="s">
        <v>61</v>
      </c>
      <c r="B36" s="13"/>
      <c r="C36" s="7">
        <f>COUNTIFS(Clean_Data!$H$2:$H$118,0)</f>
        <v>28</v>
      </c>
      <c r="D36" s="8" t="s">
        <v>60</v>
      </c>
    </row>
    <row r="37" spans="1:4" x14ac:dyDescent="0.25">
      <c r="A37" s="6" t="s">
        <v>62</v>
      </c>
      <c r="B37" s="13"/>
      <c r="C37" s="7">
        <f>COUNTIFS(Clean_Data!$E$2:$E$118,"Delhi",Clean_Data!$K$2:$K$118,"Electronics")</f>
        <v>17</v>
      </c>
      <c r="D37" s="8" t="s">
        <v>63</v>
      </c>
    </row>
    <row r="38" spans="1:4" x14ac:dyDescent="0.25">
      <c r="A38" s="6" t="s">
        <v>64</v>
      </c>
      <c r="B38" s="13"/>
      <c r="C38" s="7">
        <f>COUNTIFS(Clean_Data!$F$2:$F$118,"UPI")</f>
        <v>29</v>
      </c>
      <c r="D38" s="8" t="s">
        <v>65</v>
      </c>
    </row>
    <row r="39" spans="1:4" x14ac:dyDescent="0.25">
      <c r="A39" s="6" t="s">
        <v>66</v>
      </c>
      <c r="B39" s="13"/>
      <c r="C39" s="7">
        <f>COUNTIFS(Clean_Data!$W$2:$W$118,"Different")</f>
        <v>21</v>
      </c>
      <c r="D39" s="8" t="s">
        <v>67</v>
      </c>
    </row>
    <row r="40" spans="1:4" x14ac:dyDescent="0.25">
      <c r="A40" s="6" t="s">
        <v>68</v>
      </c>
      <c r="B40" s="13"/>
      <c r="C40" s="10">
        <f>AVERAGEIFS(Clean_Data!$Q$2:$Q$118,Clean_Data!$K$2:$K$118,"Electronics")</f>
        <v>73513.28125</v>
      </c>
      <c r="D40" s="8" t="s">
        <v>69</v>
      </c>
    </row>
    <row r="41" spans="1:4" x14ac:dyDescent="0.25">
      <c r="A41" s="6" t="s">
        <v>70</v>
      </c>
      <c r="B41" s="13"/>
      <c r="C41" s="10">
        <f>AVERAGEIFS(Clean_Data!$Q$2:$Q$118,Clean_Data!$H$2:$H$118,"&gt;0")</f>
        <v>25011.460674157304</v>
      </c>
      <c r="D41" s="8" t="s">
        <v>71</v>
      </c>
    </row>
    <row r="42" spans="1:4" x14ac:dyDescent="0.25">
      <c r="A42" s="6" t="s">
        <v>72</v>
      </c>
      <c r="B42" s="13"/>
      <c r="C42" s="10">
        <f>AVERAGEIFS(Clean_Data!$Q$2:$Q$118,Clean_Data!$H$2:$H$118,0)</f>
        <v>56553.571428571428</v>
      </c>
      <c r="D42" s="8" t="s">
        <v>73</v>
      </c>
    </row>
    <row r="43" spans="1:4" x14ac:dyDescent="0.25">
      <c r="A43" s="6" t="s">
        <v>74</v>
      </c>
      <c r="B43" s="13"/>
      <c r="C43" s="11">
        <f>AVERAGEIFS(Clean_Data!$H$2:$H$118,Clean_Data!$E$2:$E$118,"Delhi")</f>
        <v>7.4545454545454526E-2</v>
      </c>
      <c r="D43" s="8" t="s">
        <v>75</v>
      </c>
    </row>
    <row r="46" spans="1:4" ht="15.75" x14ac:dyDescent="0.25">
      <c r="A46" s="5" t="s">
        <v>76</v>
      </c>
    </row>
    <row r="47" spans="1:4" ht="31.5" customHeight="1" x14ac:dyDescent="0.25">
      <c r="A47" s="1" t="s">
        <v>77</v>
      </c>
      <c r="B47" s="1"/>
      <c r="C47" s="1"/>
      <c r="D47" s="1"/>
    </row>
    <row r="48" spans="1:4" ht="31.5" customHeight="1" x14ac:dyDescent="0.25">
      <c r="A48" s="1" t="s">
        <v>78</v>
      </c>
      <c r="B48" s="1"/>
      <c r="C48" s="1"/>
      <c r="D48" s="1"/>
    </row>
    <row r="49" spans="1:4" ht="31.5" customHeight="1" x14ac:dyDescent="0.25">
      <c r="A49" s="1" t="s">
        <v>79</v>
      </c>
      <c r="B49" s="1"/>
      <c r="C49" s="1"/>
      <c r="D49" s="1"/>
    </row>
    <row r="50" spans="1:4" ht="31.5" customHeight="1" x14ac:dyDescent="0.25">
      <c r="A50" s="1" t="s">
        <v>80</v>
      </c>
      <c r="B50" s="1"/>
      <c r="C50" s="1"/>
      <c r="D50" s="1"/>
    </row>
    <row r="51" spans="1:4" ht="31.5" customHeight="1" x14ac:dyDescent="0.25">
      <c r="A51" s="1" t="s">
        <v>81</v>
      </c>
      <c r="B51" s="1"/>
      <c r="C51" s="1"/>
      <c r="D51" s="1"/>
    </row>
    <row r="52" spans="1:4" ht="31.5" customHeight="1" x14ac:dyDescent="0.25">
      <c r="A52" s="1" t="s">
        <v>82</v>
      </c>
      <c r="B52" s="1"/>
      <c r="C52" s="1"/>
      <c r="D52" s="1"/>
    </row>
    <row r="53" spans="1:4" ht="31.5" customHeight="1" x14ac:dyDescent="0.25">
      <c r="A53" s="1" t="s">
        <v>83</v>
      </c>
      <c r="B53" s="1"/>
      <c r="C53" s="1"/>
      <c r="D53" s="1"/>
    </row>
    <row r="54" spans="1:4" ht="31.5" customHeight="1" x14ac:dyDescent="0.25">
      <c r="A54" s="1" t="s">
        <v>84</v>
      </c>
      <c r="B54" s="1"/>
      <c r="C54" s="1"/>
      <c r="D54" s="1"/>
    </row>
    <row r="55" spans="1:4" ht="31.5" customHeight="1" x14ac:dyDescent="0.25">
      <c r="A55" s="1" t="s">
        <v>85</v>
      </c>
      <c r="B55" s="1"/>
      <c r="C55" s="1"/>
      <c r="D55" s="1"/>
    </row>
    <row r="57" spans="1:4" x14ac:dyDescent="0.25">
      <c r="A57" s="15" t="s">
        <v>86</v>
      </c>
    </row>
  </sheetData>
  <mergeCells count="9">
    <mergeCell ref="A52:D52"/>
    <mergeCell ref="A53:D53"/>
    <mergeCell ref="A54:D54"/>
    <mergeCell ref="A55:D55"/>
    <mergeCell ref="A47:D47"/>
    <mergeCell ref="A48:D48"/>
    <mergeCell ref="A49:D49"/>
    <mergeCell ref="A50:D50"/>
    <mergeCell ref="A51:D5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I80"/>
  <sheetViews>
    <sheetView showGridLines="0" zoomScaleNormal="100" workbookViewId="0">
      <pane ySplit="3" topLeftCell="A69" activePane="bottomLeft" state="frozen"/>
      <selection pane="bottomLeft" activeCell="B78" sqref="B78"/>
    </sheetView>
  </sheetViews>
  <sheetFormatPr defaultColWidth="8.7109375" defaultRowHeight="15" x14ac:dyDescent="0.25"/>
  <cols>
    <col min="1" max="1" width="20" customWidth="1"/>
    <col min="2" max="3" width="10" customWidth="1"/>
    <col min="4" max="6" width="15" customWidth="1"/>
    <col min="7" max="7" width="16" customWidth="1"/>
    <col min="8" max="9" width="12" customWidth="1"/>
  </cols>
  <sheetData>
    <row r="1" spans="1:8" ht="20.25" x14ac:dyDescent="0.3">
      <c r="A1" s="3" t="s">
        <v>87</v>
      </c>
    </row>
    <row r="2" spans="1:8" x14ac:dyDescent="0.25">
      <c r="A2" s="4" t="s">
        <v>88</v>
      </c>
    </row>
    <row r="4" spans="1:8" ht="15.75" x14ac:dyDescent="0.25">
      <c r="A4" s="5" t="s">
        <v>89</v>
      </c>
    </row>
    <row r="5" spans="1:8" ht="30" customHeight="1" x14ac:dyDescent="0.25">
      <c r="A5" s="2" t="s">
        <v>90</v>
      </c>
      <c r="B5" s="2" t="s">
        <v>91</v>
      </c>
      <c r="C5" s="2" t="s">
        <v>92</v>
      </c>
      <c r="D5" s="2" t="s">
        <v>21</v>
      </c>
      <c r="E5" s="2" t="s">
        <v>1</v>
      </c>
      <c r="F5" s="2" t="s">
        <v>2</v>
      </c>
      <c r="G5" s="2" t="s">
        <v>93</v>
      </c>
      <c r="H5" s="2" t="s">
        <v>94</v>
      </c>
    </row>
    <row r="6" spans="1:8" x14ac:dyDescent="0.25">
      <c r="A6" s="16" t="s">
        <v>95</v>
      </c>
      <c r="B6" s="17">
        <f>COUNTIFS(Clean_Data!$E$2:$E$118,$A6)</f>
        <v>55</v>
      </c>
      <c r="C6" s="17">
        <f>SUMIFS(Clean_Data!$G$2:$G$118,Clean_Data!$E$2:$E$118,$A6)</f>
        <v>243</v>
      </c>
      <c r="D6" s="18">
        <f>SUMIFS(Clean_Data!$O$2:$O$118,Clean_Data!$E$2:$E$118,$A6)</f>
        <v>1916600</v>
      </c>
      <c r="E6" s="18">
        <f>SUMIFS(Clean_Data!$Q$2:$Q$118,Clean_Data!$E$2:$E$118,$A6)</f>
        <v>1818000</v>
      </c>
      <c r="F6" s="18">
        <f>SUMIFS(Clean_Data!$S$2:$S$118,Clean_Data!$E$2:$E$118,$A6)</f>
        <v>458640</v>
      </c>
      <c r="G6" s="18">
        <f>IFERROR(AVERAGEIFS(Clean_Data!$Q$2:$Q$118,Clean_Data!$E$2:$E$118,$A6),0)</f>
        <v>33054.545454545456</v>
      </c>
      <c r="H6" s="19">
        <f>IF($E$9=0,0,E6/$E$9)</f>
        <v>0.4772254772254772</v>
      </c>
    </row>
    <row r="7" spans="1:8" x14ac:dyDescent="0.25">
      <c r="A7" s="16" t="s">
        <v>96</v>
      </c>
      <c r="B7" s="17">
        <f>COUNTIFS(Clean_Data!$E$2:$E$118,$A7)</f>
        <v>35</v>
      </c>
      <c r="C7" s="17">
        <f>SUMIFS(Clean_Data!$G$2:$G$118,Clean_Data!$E$2:$E$118,$A7)</f>
        <v>170</v>
      </c>
      <c r="D7" s="18">
        <f>SUMIFS(Clean_Data!$O$2:$O$118,Clean_Data!$E$2:$E$118,$A7)</f>
        <v>1343000</v>
      </c>
      <c r="E7" s="18">
        <f>SUMIFS(Clean_Data!$Q$2:$Q$118,Clean_Data!$E$2:$E$118,$A7)</f>
        <v>1271200</v>
      </c>
      <c r="F7" s="18">
        <f>SUMIFS(Clean_Data!$S$2:$S$118,Clean_Data!$E$2:$E$118,$A7)</f>
        <v>335530</v>
      </c>
      <c r="G7" s="18">
        <f>IFERROR(AVERAGEIFS(Clean_Data!$Q$2:$Q$118,Clean_Data!$E$2:$E$118,$A7),0)</f>
        <v>36320</v>
      </c>
      <c r="H7" s="19">
        <f>IF($E$9=0,0,E7/$E$9)</f>
        <v>0.33369033369033368</v>
      </c>
    </row>
    <row r="8" spans="1:8" x14ac:dyDescent="0.25">
      <c r="A8" s="16" t="s">
        <v>97</v>
      </c>
      <c r="B8" s="17">
        <f>COUNTIFS(Clean_Data!$E$2:$E$118,$A8)</f>
        <v>27</v>
      </c>
      <c r="C8" s="17">
        <f>SUMIFS(Clean_Data!$G$2:$G$118,Clean_Data!$E$2:$E$118,$A8)</f>
        <v>133</v>
      </c>
      <c r="D8" s="18">
        <f>SUMIFS(Clean_Data!$O$2:$O$118,Clean_Data!$E$2:$E$118,$A8)</f>
        <v>793400</v>
      </c>
      <c r="E8" s="18">
        <f>SUMIFS(Clean_Data!$Q$2:$Q$118,Clean_Data!$E$2:$E$118,$A8)</f>
        <v>720320</v>
      </c>
      <c r="F8" s="18">
        <f>SUMIFS(Clean_Data!$S$2:$S$118,Clean_Data!$E$2:$E$118,$A8)</f>
        <v>176950</v>
      </c>
      <c r="G8" s="18">
        <f>IFERROR(AVERAGEIFS(Clean_Data!$Q$2:$Q$118,Clean_Data!$E$2:$E$118,$A8),0)</f>
        <v>26678.518518518518</v>
      </c>
      <c r="H8" s="19">
        <f>IF($E$9=0,0,E8/$E$9)</f>
        <v>0.18908418908418909</v>
      </c>
    </row>
    <row r="9" spans="1:8" x14ac:dyDescent="0.25">
      <c r="A9" s="20" t="s">
        <v>98</v>
      </c>
      <c r="B9" s="21">
        <f>SUM(B6:B8)</f>
        <v>117</v>
      </c>
      <c r="C9" s="21">
        <f>SUM(C6:C8)</f>
        <v>546</v>
      </c>
      <c r="D9" s="22">
        <f>SUM(D6:D8)</f>
        <v>4053000</v>
      </c>
      <c r="E9" s="22">
        <f>SUM(E6:E8)</f>
        <v>3809520</v>
      </c>
      <c r="F9" s="22">
        <f>SUM(F6:F8)</f>
        <v>971120</v>
      </c>
      <c r="G9" s="22">
        <f>AVERAGE(Clean_Data!$Q$2:$Q$118)</f>
        <v>32560</v>
      </c>
      <c r="H9" s="23">
        <f>SUM(H6:H8)</f>
        <v>1</v>
      </c>
    </row>
    <row r="12" spans="1:8" ht="15.75" x14ac:dyDescent="0.25">
      <c r="A12" s="5" t="s">
        <v>99</v>
      </c>
    </row>
    <row r="13" spans="1:8" ht="30" customHeight="1" x14ac:dyDescent="0.25">
      <c r="A13" s="2" t="s">
        <v>0</v>
      </c>
      <c r="B13" s="2" t="s">
        <v>91</v>
      </c>
      <c r="C13" s="2" t="s">
        <v>92</v>
      </c>
      <c r="D13" s="2" t="s">
        <v>21</v>
      </c>
      <c r="E13" s="2" t="s">
        <v>1</v>
      </c>
      <c r="F13" s="2" t="s">
        <v>2</v>
      </c>
      <c r="G13" s="2" t="s">
        <v>93</v>
      </c>
      <c r="H13" s="2" t="s">
        <v>94</v>
      </c>
    </row>
    <row r="14" spans="1:8" x14ac:dyDescent="0.25">
      <c r="A14" s="16" t="s">
        <v>100</v>
      </c>
      <c r="B14" s="17">
        <f>COUNTIFS(Clean_Data!$K$2:$K$118,$A14)</f>
        <v>14</v>
      </c>
      <c r="C14" s="17">
        <f>SUMIFS(Clean_Data!$G$2:$G$118,Clean_Data!$K$2:$K$118,$A14)</f>
        <v>73</v>
      </c>
      <c r="D14" s="18">
        <f>SUMIFS(Clean_Data!$O$2:$O$118,Clean_Data!$K$2:$K$118,$A14)</f>
        <v>131400</v>
      </c>
      <c r="E14" s="18">
        <f>SUMIFS(Clean_Data!$Q$2:$Q$118,Clean_Data!$K$2:$K$118,$A14)</f>
        <v>119970</v>
      </c>
      <c r="F14" s="18">
        <f>SUMIFS(Clean_Data!$S$2:$S$118,Clean_Data!$K$2:$K$118,$A14)</f>
        <v>47700</v>
      </c>
      <c r="G14" s="18">
        <f>IFERROR(AVERAGEIFS(Clean_Data!$Q$2:$Q$118,Clean_Data!$K$2:$K$118,$A14),0)</f>
        <v>8569.2857142857138</v>
      </c>
      <c r="H14" s="19">
        <f>IF($E$18=0,0,E14/$E$18)</f>
        <v>3.1492156492156489E-2</v>
      </c>
    </row>
    <row r="15" spans="1:8" x14ac:dyDescent="0.25">
      <c r="A15" s="16" t="s">
        <v>101</v>
      </c>
      <c r="B15" s="17">
        <f>COUNTIFS(Clean_Data!$K$2:$K$118,$A15)</f>
        <v>24</v>
      </c>
      <c r="C15" s="17">
        <f>SUMIFS(Clean_Data!$G$2:$G$118,Clean_Data!$K$2:$K$118,$A15)</f>
        <v>117</v>
      </c>
      <c r="D15" s="18">
        <f>SUMIFS(Clean_Data!$O$2:$O$118,Clean_Data!$K$2:$K$118,$A15)</f>
        <v>190400</v>
      </c>
      <c r="E15" s="18">
        <f>SUMIFS(Clean_Data!$Q$2:$Q$118,Clean_Data!$K$2:$K$118,$A15)</f>
        <v>174010</v>
      </c>
      <c r="F15" s="18">
        <f>SUMIFS(Clean_Data!$S$2:$S$118,Clean_Data!$K$2:$K$118,$A15)</f>
        <v>78810</v>
      </c>
      <c r="G15" s="18">
        <f>IFERROR(AVERAGEIFS(Clean_Data!$Q$2:$Q$118,Clean_Data!$K$2:$K$118,$A15),0)</f>
        <v>7250.416666666667</v>
      </c>
      <c r="H15" s="19">
        <f>IF($E$18=0,0,E15/$E$18)</f>
        <v>4.567767067767068E-2</v>
      </c>
    </row>
    <row r="16" spans="1:8" x14ac:dyDescent="0.25">
      <c r="A16" s="16" t="s">
        <v>102</v>
      </c>
      <c r="B16" s="17">
        <f>COUNTIFS(Clean_Data!$K$2:$K$118,$A16)</f>
        <v>32</v>
      </c>
      <c r="C16" s="17">
        <f>SUMIFS(Clean_Data!$G$2:$G$118,Clean_Data!$K$2:$K$118,$A16)</f>
        <v>161</v>
      </c>
      <c r="D16" s="18">
        <f>SUMIFS(Clean_Data!$O$2:$O$118,Clean_Data!$K$2:$K$118,$A16)</f>
        <v>2456500</v>
      </c>
      <c r="E16" s="18">
        <f>SUMIFS(Clean_Data!$Q$2:$Q$118,Clean_Data!$K$2:$K$118,$A16)</f>
        <v>2352425</v>
      </c>
      <c r="F16" s="18">
        <f>SUMIFS(Clean_Data!$S$2:$S$118,Clean_Data!$K$2:$K$118,$A16)</f>
        <v>510050</v>
      </c>
      <c r="G16" s="18">
        <f>IFERROR(AVERAGEIFS(Clean_Data!$Q$2:$Q$118,Clean_Data!$K$2:$K$118,$A16),0)</f>
        <v>73513.28125</v>
      </c>
      <c r="H16" s="19">
        <f>IF($E$18=0,0,E16/$E$18)</f>
        <v>0.61751218001218</v>
      </c>
    </row>
    <row r="17" spans="1:8" x14ac:dyDescent="0.25">
      <c r="A17" s="16" t="s">
        <v>103</v>
      </c>
      <c r="B17" s="17">
        <f>COUNTIFS(Clean_Data!$K$2:$K$118,$A17)</f>
        <v>47</v>
      </c>
      <c r="C17" s="17">
        <f>SUMIFS(Clean_Data!$G$2:$G$118,Clean_Data!$K$2:$K$118,$A17)</f>
        <v>195</v>
      </c>
      <c r="D17" s="18">
        <f>SUMIFS(Clean_Data!$O$2:$O$118,Clean_Data!$K$2:$K$118,$A17)</f>
        <v>1274700</v>
      </c>
      <c r="E17" s="18">
        <f>SUMIFS(Clean_Data!$Q$2:$Q$118,Clean_Data!$K$2:$K$118,$A17)</f>
        <v>1163115</v>
      </c>
      <c r="F17" s="18">
        <f>SUMIFS(Clean_Data!$S$2:$S$118,Clean_Data!$K$2:$K$118,$A17)</f>
        <v>334560</v>
      </c>
      <c r="G17" s="18">
        <f>IFERROR(AVERAGEIFS(Clean_Data!$Q$2:$Q$118,Clean_Data!$K$2:$K$118,$A17),0)</f>
        <v>24747.127659574468</v>
      </c>
      <c r="H17" s="19">
        <f>IF($E$18=0,0,E17/$E$18)</f>
        <v>0.30531799281799282</v>
      </c>
    </row>
    <row r="18" spans="1:8" x14ac:dyDescent="0.25">
      <c r="A18" s="20" t="s">
        <v>98</v>
      </c>
      <c r="B18" s="21">
        <f>SUM(B14:B17)</f>
        <v>117</v>
      </c>
      <c r="C18" s="21">
        <f>SUM(C14:C17)</f>
        <v>546</v>
      </c>
      <c r="D18" s="22">
        <f>SUM(D14:D17)</f>
        <v>4053000</v>
      </c>
      <c r="E18" s="22">
        <f>SUM(E14:E17)</f>
        <v>3809520</v>
      </c>
      <c r="F18" s="22">
        <f>SUM(F14:F17)</f>
        <v>971120</v>
      </c>
      <c r="G18" s="22">
        <f>AVERAGE(Clean_Data!$Q$2:$Q$118)</f>
        <v>32560</v>
      </c>
      <c r="H18" s="23">
        <f>SUM(H14:H17)</f>
        <v>1</v>
      </c>
    </row>
    <row r="21" spans="1:8" ht="15.75" x14ac:dyDescent="0.25">
      <c r="A21" s="5" t="s">
        <v>104</v>
      </c>
    </row>
    <row r="22" spans="1:8" ht="30" customHeight="1" x14ac:dyDescent="0.25">
      <c r="A22" s="2" t="s">
        <v>105</v>
      </c>
      <c r="B22" s="2" t="s">
        <v>91</v>
      </c>
      <c r="C22" s="2" t="s">
        <v>92</v>
      </c>
      <c r="D22" s="2" t="s">
        <v>21</v>
      </c>
      <c r="E22" s="2" t="s">
        <v>1</v>
      </c>
      <c r="F22" s="2" t="s">
        <v>2</v>
      </c>
      <c r="G22" s="2" t="s">
        <v>93</v>
      </c>
      <c r="H22" s="2" t="s">
        <v>94</v>
      </c>
    </row>
    <row r="23" spans="1:8" x14ac:dyDescent="0.25">
      <c r="A23" s="16" t="s">
        <v>106</v>
      </c>
      <c r="B23" s="17">
        <f>COUNTIFS(Clean_Data!$J$2:$J$118,$A23)</f>
        <v>5</v>
      </c>
      <c r="C23" s="17">
        <f>SUMIFS(Clean_Data!$G$2:$G$118,Clean_Data!$J$2:$J$118,$A23)</f>
        <v>26</v>
      </c>
      <c r="D23" s="18">
        <f>SUMIFS(Clean_Data!$O$2:$O$118,Clean_Data!$J$2:$J$118,$A23)</f>
        <v>1430000</v>
      </c>
      <c r="E23" s="18">
        <f>SUMIFS(Clean_Data!$Q$2:$Q$118,Clean_Data!$J$2:$J$118,$A23)</f>
        <v>1391500</v>
      </c>
      <c r="F23" s="18">
        <f>SUMIFS(Clean_Data!$S$2:$S$118,Clean_Data!$J$2:$J$118,$A23)</f>
        <v>319000</v>
      </c>
      <c r="G23" s="18">
        <f>IFERROR(AVERAGEIFS(Clean_Data!$Q$2:$Q$118,Clean_Data!$J$2:$J$118,$A23),0)</f>
        <v>278300</v>
      </c>
      <c r="H23" s="19">
        <f t="shared" ref="H23:H32" si="0">IF($E$33=0,0,E23/$E$33)</f>
        <v>0.36526911526911526</v>
      </c>
    </row>
    <row r="24" spans="1:8" x14ac:dyDescent="0.25">
      <c r="A24" s="16" t="s">
        <v>107</v>
      </c>
      <c r="B24" s="17">
        <f>COUNTIFS(Clean_Data!$J$2:$J$118,$A24)</f>
        <v>9</v>
      </c>
      <c r="C24" s="17">
        <f>SUMIFS(Clean_Data!$G$2:$G$118,Clean_Data!$J$2:$J$118,$A24)</f>
        <v>42</v>
      </c>
      <c r="D24" s="18">
        <f>SUMIFS(Clean_Data!$O$2:$O$118,Clean_Data!$J$2:$J$118,$A24)</f>
        <v>756000</v>
      </c>
      <c r="E24" s="18">
        <f>SUMIFS(Clean_Data!$Q$2:$Q$118,Clean_Data!$J$2:$J$118,$A24)</f>
        <v>707400</v>
      </c>
      <c r="F24" s="18">
        <f>SUMIFS(Clean_Data!$S$2:$S$118,Clean_Data!$J$2:$J$118,$A24)</f>
        <v>140400</v>
      </c>
      <c r="G24" s="18">
        <f>IFERROR(AVERAGEIFS(Clean_Data!$Q$2:$Q$118,Clean_Data!$J$2:$J$118,$A24),0)</f>
        <v>78600</v>
      </c>
      <c r="H24" s="19">
        <f t="shared" si="0"/>
        <v>0.18569268569268568</v>
      </c>
    </row>
    <row r="25" spans="1:8" x14ac:dyDescent="0.25">
      <c r="A25" s="16" t="s">
        <v>108</v>
      </c>
      <c r="B25" s="17">
        <f>COUNTIFS(Clean_Data!$J$2:$J$118,$A25)</f>
        <v>21</v>
      </c>
      <c r="C25" s="17">
        <f>SUMIFS(Clean_Data!$G$2:$G$118,Clean_Data!$J$2:$J$118,$A25)</f>
        <v>93</v>
      </c>
      <c r="D25" s="18">
        <f>SUMIFS(Clean_Data!$O$2:$O$118,Clean_Data!$J$2:$J$118,$A25)</f>
        <v>697500</v>
      </c>
      <c r="E25" s="18">
        <f>SUMIFS(Clean_Data!$Q$2:$Q$118,Clean_Data!$J$2:$J$118,$A25)</f>
        <v>640875</v>
      </c>
      <c r="F25" s="18">
        <f>SUMIFS(Clean_Data!$S$2:$S$118,Clean_Data!$J$2:$J$118,$A25)</f>
        <v>187500</v>
      </c>
      <c r="G25" s="18">
        <f>IFERROR(AVERAGEIFS(Clean_Data!$Q$2:$Q$118,Clean_Data!$J$2:$J$118,$A25),0)</f>
        <v>30517.857142857141</v>
      </c>
      <c r="H25" s="19">
        <f t="shared" si="0"/>
        <v>0.16822985572985574</v>
      </c>
    </row>
    <row r="26" spans="1:8" x14ac:dyDescent="0.25">
      <c r="A26" s="16" t="s">
        <v>109</v>
      </c>
      <c r="B26" s="17">
        <f>COUNTIFS(Clean_Data!$J$2:$J$118,$A26)</f>
        <v>8</v>
      </c>
      <c r="C26" s="17">
        <f>SUMIFS(Clean_Data!$G$2:$G$118,Clean_Data!$J$2:$J$118,$A26)</f>
        <v>36</v>
      </c>
      <c r="D26" s="18">
        <f>SUMIFS(Clean_Data!$O$2:$O$118,Clean_Data!$J$2:$J$118,$A26)</f>
        <v>432000</v>
      </c>
      <c r="E26" s="18">
        <f>SUMIFS(Clean_Data!$Q$2:$Q$118,Clean_Data!$J$2:$J$118,$A26)</f>
        <v>387600</v>
      </c>
      <c r="F26" s="18">
        <f>SUMIFS(Clean_Data!$S$2:$S$118,Clean_Data!$J$2:$J$118,$A26)</f>
        <v>106800</v>
      </c>
      <c r="G26" s="18">
        <f>IFERROR(AVERAGEIFS(Clean_Data!$Q$2:$Q$118,Clean_Data!$J$2:$J$118,$A26),0)</f>
        <v>48450</v>
      </c>
      <c r="H26" s="19">
        <f t="shared" si="0"/>
        <v>0.10174510174510175</v>
      </c>
    </row>
    <row r="27" spans="1:8" x14ac:dyDescent="0.25">
      <c r="A27" s="16" t="s">
        <v>110</v>
      </c>
      <c r="B27" s="17">
        <f>COUNTIFS(Clean_Data!$J$2:$J$118,$A27)</f>
        <v>18</v>
      </c>
      <c r="C27" s="17">
        <f>SUMIFS(Clean_Data!$G$2:$G$118,Clean_Data!$J$2:$J$118,$A27)</f>
        <v>66</v>
      </c>
      <c r="D27" s="18">
        <f>SUMIFS(Clean_Data!$O$2:$O$118,Clean_Data!$J$2:$J$118,$A27)</f>
        <v>145200</v>
      </c>
      <c r="E27" s="18">
        <f>SUMIFS(Clean_Data!$Q$2:$Q$118,Clean_Data!$J$2:$J$118,$A27)</f>
        <v>134640</v>
      </c>
      <c r="F27" s="18">
        <f>SUMIFS(Clean_Data!$S$2:$S$118,Clean_Data!$J$2:$J$118,$A27)</f>
        <v>40260</v>
      </c>
      <c r="G27" s="18">
        <f>IFERROR(AVERAGEIFS(Clean_Data!$Q$2:$Q$118,Clean_Data!$J$2:$J$118,$A27),0)</f>
        <v>7480</v>
      </c>
      <c r="H27" s="19">
        <f t="shared" si="0"/>
        <v>3.5343035343035345E-2</v>
      </c>
    </row>
    <row r="28" spans="1:8" x14ac:dyDescent="0.25">
      <c r="A28" s="16" t="s">
        <v>111</v>
      </c>
      <c r="B28" s="17">
        <f>COUNTIFS(Clean_Data!$J$2:$J$118,$A28)</f>
        <v>8</v>
      </c>
      <c r="C28" s="17">
        <f>SUMIFS(Clean_Data!$G$2:$G$118,Clean_Data!$J$2:$J$118,$A28)</f>
        <v>38</v>
      </c>
      <c r="D28" s="18">
        <f>SUMIFS(Clean_Data!$O$2:$O$118,Clean_Data!$J$2:$J$118,$A28)</f>
        <v>133000</v>
      </c>
      <c r="E28" s="18">
        <f>SUMIFS(Clean_Data!$Q$2:$Q$118,Clean_Data!$J$2:$J$118,$A28)</f>
        <v>127400</v>
      </c>
      <c r="F28" s="18">
        <f>SUMIFS(Clean_Data!$S$2:$S$118,Clean_Data!$J$2:$J$118,$A28)</f>
        <v>27650</v>
      </c>
      <c r="G28" s="18">
        <f>IFERROR(AVERAGEIFS(Clean_Data!$Q$2:$Q$118,Clean_Data!$J$2:$J$118,$A28),0)</f>
        <v>15925</v>
      </c>
      <c r="H28" s="19">
        <f t="shared" si="0"/>
        <v>3.3442533442533444E-2</v>
      </c>
    </row>
    <row r="29" spans="1:8" x14ac:dyDescent="0.25">
      <c r="A29" s="16" t="s">
        <v>112</v>
      </c>
      <c r="B29" s="17">
        <f>COUNTIFS(Clean_Data!$J$2:$J$118,$A29)</f>
        <v>10</v>
      </c>
      <c r="C29" s="17">
        <f>SUMIFS(Clean_Data!$G$2:$G$118,Clean_Data!$J$2:$J$118,$A29)</f>
        <v>55</v>
      </c>
      <c r="D29" s="18">
        <f>SUMIFS(Clean_Data!$O$2:$O$118,Clean_Data!$J$2:$J$118,$A29)</f>
        <v>137500</v>
      </c>
      <c r="E29" s="18">
        <f>SUMIFS(Clean_Data!$Q$2:$Q$118,Clean_Data!$J$2:$J$118,$A29)</f>
        <v>126125</v>
      </c>
      <c r="F29" s="18">
        <f>SUMIFS(Clean_Data!$S$2:$S$118,Clean_Data!$J$2:$J$118,$A29)</f>
        <v>23000</v>
      </c>
      <c r="G29" s="18">
        <f>IFERROR(AVERAGEIFS(Clean_Data!$Q$2:$Q$118,Clean_Data!$J$2:$J$118,$A29),0)</f>
        <v>12612.5</v>
      </c>
      <c r="H29" s="19">
        <f t="shared" si="0"/>
        <v>3.3107845607845611E-2</v>
      </c>
    </row>
    <row r="30" spans="1:8" x14ac:dyDescent="0.25">
      <c r="A30" s="16" t="s">
        <v>113</v>
      </c>
      <c r="B30" s="17">
        <f>COUNTIFS(Clean_Data!$J$2:$J$118,$A30)</f>
        <v>14</v>
      </c>
      <c r="C30" s="17">
        <f>SUMIFS(Clean_Data!$G$2:$G$118,Clean_Data!$J$2:$J$118,$A30)</f>
        <v>73</v>
      </c>
      <c r="D30" s="18">
        <f>SUMIFS(Clean_Data!$O$2:$O$118,Clean_Data!$J$2:$J$118,$A30)</f>
        <v>131400</v>
      </c>
      <c r="E30" s="18">
        <f>SUMIFS(Clean_Data!$Q$2:$Q$118,Clean_Data!$J$2:$J$118,$A30)</f>
        <v>119970</v>
      </c>
      <c r="F30" s="18">
        <f>SUMIFS(Clean_Data!$S$2:$S$118,Clean_Data!$J$2:$J$118,$A30)</f>
        <v>47700</v>
      </c>
      <c r="G30" s="18">
        <f>IFERROR(AVERAGEIFS(Clean_Data!$Q$2:$Q$118,Clean_Data!$J$2:$J$118,$A30),0)</f>
        <v>8569.2857142857138</v>
      </c>
      <c r="H30" s="19">
        <f t="shared" si="0"/>
        <v>3.1492156492156489E-2</v>
      </c>
    </row>
    <row r="31" spans="1:8" x14ac:dyDescent="0.25">
      <c r="A31" s="16" t="s">
        <v>114</v>
      </c>
      <c r="B31" s="17">
        <f>COUNTIFS(Clean_Data!$J$2:$J$118,$A31)</f>
        <v>10</v>
      </c>
      <c r="C31" s="17">
        <f>SUMIFS(Clean_Data!$G$2:$G$118,Clean_Data!$J$2:$J$118,$A31)</f>
        <v>50</v>
      </c>
      <c r="D31" s="18">
        <f>SUMIFS(Clean_Data!$O$2:$O$118,Clean_Data!$J$2:$J$118,$A31)</f>
        <v>110000</v>
      </c>
      <c r="E31" s="18">
        <f>SUMIFS(Clean_Data!$Q$2:$Q$118,Clean_Data!$J$2:$J$118,$A31)</f>
        <v>99550</v>
      </c>
      <c r="F31" s="18">
        <f>SUMIFS(Clean_Data!$S$2:$S$118,Clean_Data!$J$2:$J$118,$A31)</f>
        <v>44550</v>
      </c>
      <c r="G31" s="18">
        <f>IFERROR(AVERAGEIFS(Clean_Data!$Q$2:$Q$118,Clean_Data!$J$2:$J$118,$A31),0)</f>
        <v>9955</v>
      </c>
      <c r="H31" s="19">
        <f t="shared" si="0"/>
        <v>2.6131901131901131E-2</v>
      </c>
    </row>
    <row r="32" spans="1:8" x14ac:dyDescent="0.25">
      <c r="A32" s="16" t="s">
        <v>115</v>
      </c>
      <c r="B32" s="17">
        <f>COUNTIFS(Clean_Data!$J$2:$J$118,$A32)</f>
        <v>14</v>
      </c>
      <c r="C32" s="17">
        <f>SUMIFS(Clean_Data!$G$2:$G$118,Clean_Data!$J$2:$J$118,$A32)</f>
        <v>67</v>
      </c>
      <c r="D32" s="18">
        <f>SUMIFS(Clean_Data!$O$2:$O$118,Clean_Data!$J$2:$J$118,$A32)</f>
        <v>80400</v>
      </c>
      <c r="E32" s="18">
        <f>SUMIFS(Clean_Data!$Q$2:$Q$118,Clean_Data!$J$2:$J$118,$A32)</f>
        <v>74460</v>
      </c>
      <c r="F32" s="18">
        <f>SUMIFS(Clean_Data!$S$2:$S$118,Clean_Data!$J$2:$J$118,$A32)</f>
        <v>34260</v>
      </c>
      <c r="G32" s="18">
        <f>IFERROR(AVERAGEIFS(Clean_Data!$Q$2:$Q$118,Clean_Data!$J$2:$J$118,$A32),0)</f>
        <v>5318.5714285714284</v>
      </c>
      <c r="H32" s="19">
        <f t="shared" si="0"/>
        <v>1.9545769545769545E-2</v>
      </c>
    </row>
    <row r="33" spans="1:8" x14ac:dyDescent="0.25">
      <c r="A33" s="20" t="s">
        <v>98</v>
      </c>
      <c r="B33" s="21">
        <f>SUM(B23:B32)</f>
        <v>117</v>
      </c>
      <c r="C33" s="21">
        <f>SUM(C23:C32)</f>
        <v>546</v>
      </c>
      <c r="D33" s="22">
        <f>SUM(D23:D32)</f>
        <v>4053000</v>
      </c>
      <c r="E33" s="22">
        <f>SUM(E23:E32)</f>
        <v>3809520</v>
      </c>
      <c r="F33" s="22">
        <f>SUM(F23:F32)</f>
        <v>971120</v>
      </c>
      <c r="G33" s="22">
        <f>AVERAGE(Clean_Data!$Q$2:$Q$118)</f>
        <v>32560</v>
      </c>
      <c r="H33" s="23">
        <f>SUM(H23:H32)</f>
        <v>1</v>
      </c>
    </row>
    <row r="36" spans="1:8" ht="15.75" x14ac:dyDescent="0.25">
      <c r="A36" s="5" t="s">
        <v>116</v>
      </c>
    </row>
    <row r="37" spans="1:8" ht="30" customHeight="1" x14ac:dyDescent="0.25">
      <c r="A37" s="2" t="s">
        <v>117</v>
      </c>
      <c r="B37" s="2" t="s">
        <v>91</v>
      </c>
      <c r="C37" s="2" t="s">
        <v>92</v>
      </c>
      <c r="D37" s="2" t="s">
        <v>21</v>
      </c>
      <c r="E37" s="2" t="s">
        <v>1</v>
      </c>
      <c r="F37" s="2" t="s">
        <v>2</v>
      </c>
      <c r="G37" s="2" t="s">
        <v>93</v>
      </c>
      <c r="H37" s="2" t="s">
        <v>94</v>
      </c>
    </row>
    <row r="38" spans="1:8" x14ac:dyDescent="0.25">
      <c r="A38" s="16" t="s">
        <v>118</v>
      </c>
      <c r="B38" s="17">
        <f>COUNTIFS(Clean_Data!$M$2:$M$118,$A38)</f>
        <v>17</v>
      </c>
      <c r="C38" s="17">
        <f>SUMIFS(Clean_Data!$G$2:$G$118,Clean_Data!$M$2:$M$118,$A38)</f>
        <v>78</v>
      </c>
      <c r="D38" s="18">
        <f>SUMIFS(Clean_Data!$O$2:$O$118,Clean_Data!$M$2:$M$118,$A38)</f>
        <v>851800</v>
      </c>
      <c r="E38" s="18">
        <f>SUMIFS(Clean_Data!$Q$2:$Q$118,Clean_Data!$M$2:$M$118,$A38)</f>
        <v>809345</v>
      </c>
      <c r="F38" s="18">
        <f>SUMIFS(Clean_Data!$S$2:$S$118,Clean_Data!$M$2:$M$118,$A38)</f>
        <v>195395</v>
      </c>
      <c r="G38" s="18">
        <f>IFERROR(AVERAGEIFS(Clean_Data!$Q$2:$Q$118,Clean_Data!$M$2:$M$118,$A38),0)</f>
        <v>47608.529411764706</v>
      </c>
      <c r="H38" s="19">
        <f t="shared" ref="H38:H45" si="1">IF($E$46=0,0,E38/$E$46)</f>
        <v>0.21245327495327496</v>
      </c>
    </row>
    <row r="39" spans="1:8" x14ac:dyDescent="0.25">
      <c r="A39" s="16" t="s">
        <v>119</v>
      </c>
      <c r="B39" s="17">
        <f>COUNTIFS(Clean_Data!$M$2:$M$118,$A39)</f>
        <v>26</v>
      </c>
      <c r="C39" s="17">
        <f>SUMIFS(Clean_Data!$G$2:$G$118,Clean_Data!$M$2:$M$118,$A39)</f>
        <v>111</v>
      </c>
      <c r="D39" s="18">
        <f>SUMIFS(Clean_Data!$O$2:$O$118,Clean_Data!$M$2:$M$118,$A39)</f>
        <v>828600</v>
      </c>
      <c r="E39" s="18">
        <f>SUMIFS(Clean_Data!$Q$2:$Q$118,Clean_Data!$M$2:$M$118,$A39)</f>
        <v>788880</v>
      </c>
      <c r="F39" s="18">
        <f>SUMIFS(Clean_Data!$S$2:$S$118,Clean_Data!$M$2:$M$118,$A39)</f>
        <v>201090</v>
      </c>
      <c r="G39" s="18">
        <f>IFERROR(AVERAGEIFS(Clean_Data!$Q$2:$Q$118,Clean_Data!$M$2:$M$118,$A39),0)</f>
        <v>30341.538461538461</v>
      </c>
      <c r="H39" s="19">
        <f t="shared" si="1"/>
        <v>0.20708120708120709</v>
      </c>
    </row>
    <row r="40" spans="1:8" x14ac:dyDescent="0.25">
      <c r="A40" s="16" t="s">
        <v>120</v>
      </c>
      <c r="B40" s="17">
        <f>COUNTIFS(Clean_Data!$M$2:$M$118,$A40)</f>
        <v>16</v>
      </c>
      <c r="C40" s="17">
        <f>SUMIFS(Clean_Data!$G$2:$G$118,Clean_Data!$M$2:$M$118,$A40)</f>
        <v>78</v>
      </c>
      <c r="D40" s="18">
        <f>SUMIFS(Clean_Data!$O$2:$O$118,Clean_Data!$M$2:$M$118,$A40)</f>
        <v>820000</v>
      </c>
      <c r="E40" s="18">
        <f>SUMIFS(Clean_Data!$Q$2:$Q$118,Clean_Data!$M$2:$M$118,$A40)</f>
        <v>775595</v>
      </c>
      <c r="F40" s="18">
        <f>SUMIFS(Clean_Data!$S$2:$S$118,Clean_Data!$M$2:$M$118,$A40)</f>
        <v>194945</v>
      </c>
      <c r="G40" s="18">
        <f>IFERROR(AVERAGEIFS(Clean_Data!$Q$2:$Q$118,Clean_Data!$M$2:$M$118,$A40),0)</f>
        <v>48474.6875</v>
      </c>
      <c r="H40" s="19">
        <f t="shared" si="1"/>
        <v>0.20359389109389109</v>
      </c>
    </row>
    <row r="41" spans="1:8" x14ac:dyDescent="0.25">
      <c r="A41" s="16" t="s">
        <v>121</v>
      </c>
      <c r="B41" s="17">
        <f>COUNTIFS(Clean_Data!$M$2:$M$118,$A41)</f>
        <v>19</v>
      </c>
      <c r="C41" s="17">
        <f>SUMIFS(Clean_Data!$G$2:$G$118,Clean_Data!$M$2:$M$118,$A41)</f>
        <v>92</v>
      </c>
      <c r="D41" s="18">
        <f>SUMIFS(Clean_Data!$O$2:$O$118,Clean_Data!$M$2:$M$118,$A41)</f>
        <v>556900</v>
      </c>
      <c r="E41" s="18">
        <f>SUMIFS(Clean_Data!$Q$2:$Q$118,Clean_Data!$M$2:$M$118,$A41)</f>
        <v>513875</v>
      </c>
      <c r="F41" s="18">
        <f>SUMIFS(Clean_Data!$S$2:$S$118,Clean_Data!$M$2:$M$118,$A41)</f>
        <v>130460</v>
      </c>
      <c r="G41" s="18">
        <f>IFERROR(AVERAGEIFS(Clean_Data!$Q$2:$Q$118,Clean_Data!$M$2:$M$118,$A41),0)</f>
        <v>27046.052631578947</v>
      </c>
      <c r="H41" s="19">
        <f t="shared" si="1"/>
        <v>0.13489232239232241</v>
      </c>
    </row>
    <row r="42" spans="1:8" x14ac:dyDescent="0.25">
      <c r="A42" s="16" t="s">
        <v>122</v>
      </c>
      <c r="B42" s="17">
        <f>COUNTIFS(Clean_Data!$M$2:$M$118,$A42)</f>
        <v>10</v>
      </c>
      <c r="C42" s="17">
        <f>SUMIFS(Clean_Data!$G$2:$G$118,Clean_Data!$M$2:$M$118,$A42)</f>
        <v>50</v>
      </c>
      <c r="D42" s="18">
        <f>SUMIFS(Clean_Data!$O$2:$O$118,Clean_Data!$M$2:$M$118,$A42)</f>
        <v>373600</v>
      </c>
      <c r="E42" s="18">
        <f>SUMIFS(Clean_Data!$Q$2:$Q$118,Clean_Data!$M$2:$M$118,$A42)</f>
        <v>355500</v>
      </c>
      <c r="F42" s="18">
        <f>SUMIFS(Clean_Data!$S$2:$S$118,Clean_Data!$M$2:$M$118,$A42)</f>
        <v>94090</v>
      </c>
      <c r="G42" s="18">
        <f>IFERROR(AVERAGEIFS(Clean_Data!$Q$2:$Q$118,Clean_Data!$M$2:$M$118,$A42),0)</f>
        <v>35550</v>
      </c>
      <c r="H42" s="19">
        <f t="shared" si="1"/>
        <v>9.3318843318843325E-2</v>
      </c>
    </row>
    <row r="43" spans="1:8" x14ac:dyDescent="0.25">
      <c r="A43" s="16" t="s">
        <v>123</v>
      </c>
      <c r="B43" s="17">
        <f>COUNTIFS(Clean_Data!$M$2:$M$118,$A43)</f>
        <v>13</v>
      </c>
      <c r="C43" s="17">
        <f>SUMIFS(Clean_Data!$G$2:$G$118,Clean_Data!$M$2:$M$118,$A43)</f>
        <v>63</v>
      </c>
      <c r="D43" s="18">
        <f>SUMIFS(Clean_Data!$O$2:$O$118,Clean_Data!$M$2:$M$118,$A43)</f>
        <v>283900</v>
      </c>
      <c r="E43" s="18">
        <f>SUMIFS(Clean_Data!$Q$2:$Q$118,Clean_Data!$M$2:$M$118,$A43)</f>
        <v>261915</v>
      </c>
      <c r="F43" s="18">
        <f>SUMIFS(Clean_Data!$S$2:$S$118,Clean_Data!$M$2:$M$118,$A43)</f>
        <v>70560</v>
      </c>
      <c r="G43" s="18">
        <f>IFERROR(AVERAGEIFS(Clean_Data!$Q$2:$Q$118,Clean_Data!$M$2:$M$118,$A43),0)</f>
        <v>20147.307692307691</v>
      </c>
      <c r="H43" s="19">
        <f t="shared" si="1"/>
        <v>6.8752756252756259E-2</v>
      </c>
    </row>
    <row r="44" spans="1:8" x14ac:dyDescent="0.25">
      <c r="A44" s="16" t="s">
        <v>124</v>
      </c>
      <c r="B44" s="17">
        <f>COUNTIFS(Clean_Data!$M$2:$M$118,$A44)</f>
        <v>9</v>
      </c>
      <c r="C44" s="17">
        <f>SUMIFS(Clean_Data!$G$2:$G$118,Clean_Data!$M$2:$M$118,$A44)</f>
        <v>45</v>
      </c>
      <c r="D44" s="18">
        <f>SUMIFS(Clean_Data!$O$2:$O$118,Clean_Data!$M$2:$M$118,$A44)</f>
        <v>251200</v>
      </c>
      <c r="E44" s="18">
        <f>SUMIFS(Clean_Data!$Q$2:$Q$118,Clean_Data!$M$2:$M$118,$A44)</f>
        <v>224160</v>
      </c>
      <c r="F44" s="18">
        <f>SUMIFS(Clean_Data!$S$2:$S$118,Clean_Data!$M$2:$M$118,$A44)</f>
        <v>60580</v>
      </c>
      <c r="G44" s="18">
        <f>IFERROR(AVERAGEIFS(Clean_Data!$Q$2:$Q$118,Clean_Data!$M$2:$M$118,$A44),0)</f>
        <v>24906.666666666668</v>
      </c>
      <c r="H44" s="19">
        <f t="shared" si="1"/>
        <v>5.8842058842058842E-2</v>
      </c>
    </row>
    <row r="45" spans="1:8" x14ac:dyDescent="0.25">
      <c r="A45" s="16" t="s">
        <v>125</v>
      </c>
      <c r="B45" s="17">
        <f>COUNTIFS(Clean_Data!$M$2:$M$118,$A45)</f>
        <v>7</v>
      </c>
      <c r="C45" s="17">
        <f>SUMIFS(Clean_Data!$G$2:$G$118,Clean_Data!$M$2:$M$118,$A45)</f>
        <v>29</v>
      </c>
      <c r="D45" s="18">
        <f>SUMIFS(Clean_Data!$O$2:$O$118,Clean_Data!$M$2:$M$118,$A45)</f>
        <v>87000</v>
      </c>
      <c r="E45" s="18">
        <f>SUMIFS(Clean_Data!$Q$2:$Q$118,Clean_Data!$M$2:$M$118,$A45)</f>
        <v>80250</v>
      </c>
      <c r="F45" s="18">
        <f>SUMIFS(Clean_Data!$S$2:$S$118,Clean_Data!$M$2:$M$118,$A45)</f>
        <v>24000</v>
      </c>
      <c r="G45" s="18">
        <f>IFERROR(AVERAGEIFS(Clean_Data!$Q$2:$Q$118,Clean_Data!$M$2:$M$118,$A45),0)</f>
        <v>11464.285714285714</v>
      </c>
      <c r="H45" s="19">
        <f t="shared" si="1"/>
        <v>2.1065646065646065E-2</v>
      </c>
    </row>
    <row r="46" spans="1:8" x14ac:dyDescent="0.25">
      <c r="A46" s="20" t="s">
        <v>98</v>
      </c>
      <c r="B46" s="21">
        <f>SUM(B38:B45)</f>
        <v>117</v>
      </c>
      <c r="C46" s="21">
        <f>SUM(C38:C45)</f>
        <v>546</v>
      </c>
      <c r="D46" s="22">
        <f>SUM(D38:D45)</f>
        <v>4053000</v>
      </c>
      <c r="E46" s="22">
        <f>SUM(E38:E45)</f>
        <v>3809520</v>
      </c>
      <c r="F46" s="22">
        <f>SUM(F38:F45)</f>
        <v>971120</v>
      </c>
      <c r="G46" s="22">
        <f>AVERAGE(Clean_Data!$Q$2:$Q$118)</f>
        <v>32560</v>
      </c>
      <c r="H46" s="23">
        <f>SUM(H38:H45)</f>
        <v>1</v>
      </c>
    </row>
    <row r="49" spans="1:9" ht="15.75" x14ac:dyDescent="0.25">
      <c r="A49" s="5" t="s">
        <v>126</v>
      </c>
    </row>
    <row r="50" spans="1:9" ht="30" customHeight="1" x14ac:dyDescent="0.25">
      <c r="A50" s="2" t="s">
        <v>127</v>
      </c>
      <c r="B50" s="2" t="s">
        <v>91</v>
      </c>
      <c r="C50" s="2" t="s">
        <v>92</v>
      </c>
      <c r="D50" s="2" t="s">
        <v>21</v>
      </c>
      <c r="E50" s="2" t="s">
        <v>1</v>
      </c>
      <c r="F50" s="2" t="s">
        <v>2</v>
      </c>
      <c r="G50" s="2" t="s">
        <v>93</v>
      </c>
      <c r="H50" s="2" t="s">
        <v>94</v>
      </c>
      <c r="I50" s="2" t="s">
        <v>128</v>
      </c>
    </row>
    <row r="51" spans="1:9" x14ac:dyDescent="0.25">
      <c r="A51" s="24">
        <v>46023</v>
      </c>
      <c r="B51" s="17">
        <f>COUNTIFS(Clean_Data!$U$2:$U$118,$A51)</f>
        <v>27</v>
      </c>
      <c r="C51" s="17">
        <f>SUMIFS(Clean_Data!$G$2:$G$118,Clean_Data!$U$2:$U$118,$A51)</f>
        <v>138</v>
      </c>
      <c r="D51" s="18">
        <f>SUMIFS(Clean_Data!$O$2:$O$118,Clean_Data!$U$2:$U$118,$A51)</f>
        <v>1390000</v>
      </c>
      <c r="E51" s="18">
        <f>SUMIFS(Clean_Data!$Q$2:$Q$118,Clean_Data!$U$2:$U$118,$A51)</f>
        <v>1307050</v>
      </c>
      <c r="F51" s="18">
        <f>SUMIFS(Clean_Data!$S$2:$S$118,Clean_Data!$U$2:$U$118,$A51)</f>
        <v>317360</v>
      </c>
      <c r="G51" s="18">
        <f>IFERROR(AVERAGEIFS(Clean_Data!$Q$2:$Q$118,Clean_Data!$U$2:$U$118,$A51),0)</f>
        <v>48409.259259259263</v>
      </c>
      <c r="H51" s="19">
        <f>IF($E$55=0,0,E51/$E$55)</f>
        <v>0.34310096810096807</v>
      </c>
      <c r="I51" s="25" t="s">
        <v>129</v>
      </c>
    </row>
    <row r="52" spans="1:9" x14ac:dyDescent="0.25">
      <c r="A52" s="24">
        <v>46054</v>
      </c>
      <c r="B52" s="17">
        <f>COUNTIFS(Clean_Data!$U$2:$U$118,$A52)</f>
        <v>34</v>
      </c>
      <c r="C52" s="17">
        <f>SUMIFS(Clean_Data!$G$2:$G$118,Clean_Data!$U$2:$U$118,$A52)</f>
        <v>169</v>
      </c>
      <c r="D52" s="18">
        <f>SUMIFS(Clean_Data!$O$2:$O$118,Clean_Data!$U$2:$U$118,$A52)</f>
        <v>1110600</v>
      </c>
      <c r="E52" s="18">
        <f>SUMIFS(Clean_Data!$Q$2:$Q$118,Clean_Data!$U$2:$U$118,$A52)</f>
        <v>1040185</v>
      </c>
      <c r="F52" s="18">
        <f>SUMIFS(Clean_Data!$S$2:$S$118,Clean_Data!$U$2:$U$118,$A52)</f>
        <v>287765</v>
      </c>
      <c r="G52" s="18">
        <f>IFERROR(AVERAGEIFS(Clean_Data!$Q$2:$Q$118,Clean_Data!$U$2:$U$118,$A52),0)</f>
        <v>30593.676470588234</v>
      </c>
      <c r="H52" s="19">
        <f>IF($E$55=0,0,E52/$E$55)</f>
        <v>0.27304883554883552</v>
      </c>
      <c r="I52" s="25">
        <f>IF(E51=0,0,E52/E51-1)</f>
        <v>-0.20417352052331583</v>
      </c>
    </row>
    <row r="53" spans="1:9" x14ac:dyDescent="0.25">
      <c r="A53" s="24">
        <v>46082</v>
      </c>
      <c r="B53" s="17">
        <f>COUNTIFS(Clean_Data!$U$2:$U$118,$A53)</f>
        <v>23</v>
      </c>
      <c r="C53" s="17">
        <f>SUMIFS(Clean_Data!$G$2:$G$118,Clean_Data!$U$2:$U$118,$A53)</f>
        <v>89</v>
      </c>
      <c r="D53" s="18">
        <f>SUMIFS(Clean_Data!$O$2:$O$118,Clean_Data!$U$2:$U$118,$A53)</f>
        <v>1066900</v>
      </c>
      <c r="E53" s="18">
        <f>SUMIFS(Clean_Data!$Q$2:$Q$118,Clean_Data!$U$2:$U$118,$A53)</f>
        <v>1006245</v>
      </c>
      <c r="F53" s="18">
        <f>SUMIFS(Clean_Data!$S$2:$S$118,Clean_Data!$U$2:$U$118,$A53)</f>
        <v>225800</v>
      </c>
      <c r="G53" s="18">
        <f>IFERROR(AVERAGEIFS(Clean_Data!$Q$2:$Q$118,Clean_Data!$U$2:$U$118,$A53),0)</f>
        <v>43749.782608695656</v>
      </c>
      <c r="H53" s="19">
        <f>IF($E$55=0,0,E53/$E$55)</f>
        <v>0.26413957663957666</v>
      </c>
      <c r="I53" s="25">
        <f>IF(E52=0,0,E53/E52-1)</f>
        <v>-3.2628811221080856E-2</v>
      </c>
    </row>
    <row r="54" spans="1:9" x14ac:dyDescent="0.25">
      <c r="A54" s="24">
        <v>46113</v>
      </c>
      <c r="B54" s="17">
        <f>COUNTIFS(Clean_Data!$U$2:$U$118,$A54)</f>
        <v>33</v>
      </c>
      <c r="C54" s="17">
        <f>SUMIFS(Clean_Data!$G$2:$G$118,Clean_Data!$U$2:$U$118,$A54)</f>
        <v>150</v>
      </c>
      <c r="D54" s="18">
        <f>SUMIFS(Clean_Data!$O$2:$O$118,Clean_Data!$U$2:$U$118,$A54)</f>
        <v>485500</v>
      </c>
      <c r="E54" s="18">
        <f>SUMIFS(Clean_Data!$Q$2:$Q$118,Clean_Data!$U$2:$U$118,$A54)</f>
        <v>456040</v>
      </c>
      <c r="F54" s="18">
        <f>SUMIFS(Clean_Data!$S$2:$S$118,Clean_Data!$U$2:$U$118,$A54)</f>
        <v>140195</v>
      </c>
      <c r="G54" s="18">
        <f>IFERROR(AVERAGEIFS(Clean_Data!$Q$2:$Q$118,Clean_Data!$U$2:$U$118,$A54),0)</f>
        <v>13819.39393939394</v>
      </c>
      <c r="H54" s="19">
        <f>IF($E$55=0,0,E54/$E$55)</f>
        <v>0.11971061971061971</v>
      </c>
      <c r="I54" s="25">
        <f>IF(E53=0,0,E54/E53-1)</f>
        <v>-0.54679029461015949</v>
      </c>
    </row>
    <row r="55" spans="1:9" x14ac:dyDescent="0.25">
      <c r="A55" s="20" t="s">
        <v>98</v>
      </c>
      <c r="B55" s="21">
        <f>SUM(B51:B54)</f>
        <v>117</v>
      </c>
      <c r="C55" s="21">
        <f>SUM(C51:C54)</f>
        <v>546</v>
      </c>
      <c r="D55" s="22">
        <f>SUM(D51:D54)</f>
        <v>4053000</v>
      </c>
      <c r="E55" s="22">
        <f>SUM(E51:E54)</f>
        <v>3809520</v>
      </c>
      <c r="F55" s="22">
        <f>SUM(F51:F54)</f>
        <v>971120</v>
      </c>
      <c r="G55" s="22">
        <f>AVERAGE(Clean_Data!$Q$2:$Q$118)</f>
        <v>32560</v>
      </c>
      <c r="H55" s="23">
        <f>SUM(H51:H54)</f>
        <v>1</v>
      </c>
      <c r="I55" s="26"/>
    </row>
    <row r="58" spans="1:9" ht="15.75" x14ac:dyDescent="0.25">
      <c r="A58" s="5" t="s">
        <v>130</v>
      </c>
    </row>
    <row r="59" spans="1:9" ht="30" customHeight="1" x14ac:dyDescent="0.25">
      <c r="A59" s="2" t="s">
        <v>131</v>
      </c>
      <c r="B59" s="2" t="s">
        <v>91</v>
      </c>
      <c r="C59" s="2" t="s">
        <v>92</v>
      </c>
      <c r="D59" s="2" t="s">
        <v>21</v>
      </c>
      <c r="E59" s="2" t="s">
        <v>1</v>
      </c>
      <c r="F59" s="2" t="s">
        <v>2</v>
      </c>
      <c r="G59" s="2" t="s">
        <v>93</v>
      </c>
      <c r="H59" s="2" t="s">
        <v>94</v>
      </c>
    </row>
    <row r="60" spans="1:9" x14ac:dyDescent="0.25">
      <c r="A60" s="16" t="s">
        <v>132</v>
      </c>
      <c r="B60" s="17">
        <f>COUNTIFS(Clean_Data!$F$2:$F$118,$A60)</f>
        <v>31</v>
      </c>
      <c r="C60" s="17">
        <f>SUMIFS(Clean_Data!$G$2:$G$118,Clean_Data!$F$2:$F$118,$A60)</f>
        <v>152</v>
      </c>
      <c r="D60" s="18">
        <f>SUMIFS(Clean_Data!$O$2:$O$118,Clean_Data!$F$2:$F$118,$A60)</f>
        <v>925400</v>
      </c>
      <c r="E60" s="18">
        <f>SUMIFS(Clean_Data!$Q$2:$Q$118,Clean_Data!$F$2:$F$118,$A60)</f>
        <v>889330</v>
      </c>
      <c r="F60" s="18">
        <f>SUMIFS(Clean_Data!$S$2:$S$118,Clean_Data!$F$2:$F$118,$A60)</f>
        <v>246750</v>
      </c>
      <c r="G60" s="18">
        <f>IFERROR(AVERAGEIFS(Clean_Data!$Q$2:$Q$118,Clean_Data!$F$2:$F$118,$A60),0)</f>
        <v>28688.064516129034</v>
      </c>
      <c r="H60" s="19">
        <f>IF($E$64=0,0,E60/$E$64)</f>
        <v>0.23344935844935846</v>
      </c>
    </row>
    <row r="61" spans="1:9" x14ac:dyDescent="0.25">
      <c r="A61" s="16" t="s">
        <v>133</v>
      </c>
      <c r="B61" s="17">
        <f>COUNTIFS(Clean_Data!$F$2:$F$118,$A61)</f>
        <v>24</v>
      </c>
      <c r="C61" s="17">
        <f>SUMIFS(Clean_Data!$G$2:$G$118,Clean_Data!$F$2:$F$118,$A61)</f>
        <v>112</v>
      </c>
      <c r="D61" s="18">
        <f>SUMIFS(Clean_Data!$O$2:$O$118,Clean_Data!$F$2:$F$118,$A61)</f>
        <v>667000</v>
      </c>
      <c r="E61" s="18">
        <f>SUMIFS(Clean_Data!$Q$2:$Q$118,Clean_Data!$F$2:$F$118,$A61)</f>
        <v>592950</v>
      </c>
      <c r="F61" s="18">
        <f>SUMIFS(Clean_Data!$S$2:$S$118,Clean_Data!$F$2:$F$118,$A61)</f>
        <v>150890</v>
      </c>
      <c r="G61" s="18">
        <f>IFERROR(AVERAGEIFS(Clean_Data!$Q$2:$Q$118,Clean_Data!$F$2:$F$118,$A61),0)</f>
        <v>24706.25</v>
      </c>
      <c r="H61" s="19">
        <f>IF($E$64=0,0,E61/$E$64)</f>
        <v>0.15564953064953066</v>
      </c>
    </row>
    <row r="62" spans="1:9" x14ac:dyDescent="0.25">
      <c r="A62" s="16" t="s">
        <v>134</v>
      </c>
      <c r="B62" s="17">
        <f>COUNTIFS(Clean_Data!$F$2:$F$118,$A62)</f>
        <v>33</v>
      </c>
      <c r="C62" s="17">
        <f>SUMIFS(Clean_Data!$G$2:$G$118,Clean_Data!$F$2:$F$118,$A62)</f>
        <v>149</v>
      </c>
      <c r="D62" s="18">
        <f>SUMIFS(Clean_Data!$O$2:$O$118,Clean_Data!$F$2:$F$118,$A62)</f>
        <v>1431500</v>
      </c>
      <c r="E62" s="18">
        <f>SUMIFS(Clean_Data!$Q$2:$Q$118,Clean_Data!$F$2:$F$118,$A62)</f>
        <v>1350750</v>
      </c>
      <c r="F62" s="18">
        <f>SUMIFS(Clean_Data!$S$2:$S$118,Clean_Data!$F$2:$F$118,$A62)</f>
        <v>320515</v>
      </c>
      <c r="G62" s="18">
        <f>IFERROR(AVERAGEIFS(Clean_Data!$Q$2:$Q$118,Clean_Data!$F$2:$F$118,$A62),0)</f>
        <v>40931.818181818184</v>
      </c>
      <c r="H62" s="19">
        <f>IF($E$64=0,0,E62/$E$64)</f>
        <v>0.35457222957222956</v>
      </c>
    </row>
    <row r="63" spans="1:9" x14ac:dyDescent="0.25">
      <c r="A63" s="16" t="s">
        <v>135</v>
      </c>
      <c r="B63" s="17">
        <f>COUNTIFS(Clean_Data!$F$2:$F$118,$A63)</f>
        <v>29</v>
      </c>
      <c r="C63" s="17">
        <f>SUMIFS(Clean_Data!$G$2:$G$118,Clean_Data!$F$2:$F$118,$A63)</f>
        <v>133</v>
      </c>
      <c r="D63" s="18">
        <f>SUMIFS(Clean_Data!$O$2:$O$118,Clean_Data!$F$2:$F$118,$A63)</f>
        <v>1029100</v>
      </c>
      <c r="E63" s="18">
        <f>SUMIFS(Clean_Data!$Q$2:$Q$118,Clean_Data!$F$2:$F$118,$A63)</f>
        <v>976490</v>
      </c>
      <c r="F63" s="18">
        <f>SUMIFS(Clean_Data!$S$2:$S$118,Clean_Data!$F$2:$F$118,$A63)</f>
        <v>252965</v>
      </c>
      <c r="G63" s="18">
        <f>IFERROR(AVERAGEIFS(Clean_Data!$Q$2:$Q$118,Clean_Data!$F$2:$F$118,$A63),0)</f>
        <v>33672.068965517239</v>
      </c>
      <c r="H63" s="19">
        <f>IF($E$64=0,0,E63/$E$64)</f>
        <v>0.25632888132888132</v>
      </c>
    </row>
    <row r="64" spans="1:9" x14ac:dyDescent="0.25">
      <c r="A64" s="20" t="s">
        <v>98</v>
      </c>
      <c r="B64" s="21">
        <f>SUM(B60:B63)</f>
        <v>117</v>
      </c>
      <c r="C64" s="21">
        <f>SUM(C60:C63)</f>
        <v>546</v>
      </c>
      <c r="D64" s="22">
        <f>SUM(D60:D63)</f>
        <v>4053000</v>
      </c>
      <c r="E64" s="22">
        <f>SUM(E60:E63)</f>
        <v>3809520</v>
      </c>
      <c r="F64" s="22">
        <f>SUM(F60:F63)</f>
        <v>971120</v>
      </c>
      <c r="G64" s="22">
        <f>AVERAGE(Clean_Data!$Q$2:$Q$118)</f>
        <v>32560</v>
      </c>
      <c r="H64" s="23">
        <f>SUM(H60:H63)</f>
        <v>1</v>
      </c>
    </row>
    <row r="67" spans="1:6" ht="15.75" x14ac:dyDescent="0.25">
      <c r="A67" s="5" t="s">
        <v>136</v>
      </c>
    </row>
    <row r="68" spans="1:6" ht="25.5" x14ac:dyDescent="0.25">
      <c r="A68" s="2" t="s">
        <v>90</v>
      </c>
      <c r="B68" s="2" t="s">
        <v>100</v>
      </c>
      <c r="C68" s="2" t="s">
        <v>101</v>
      </c>
      <c r="D68" s="2" t="s">
        <v>102</v>
      </c>
      <c r="E68" s="2" t="s">
        <v>103</v>
      </c>
      <c r="F68" s="2" t="s">
        <v>98</v>
      </c>
    </row>
    <row r="69" spans="1:6" x14ac:dyDescent="0.25">
      <c r="A69" s="6" t="s">
        <v>95</v>
      </c>
      <c r="B69" s="18">
        <f>SUMIFS(Clean_Data!$Q$2:$Q$118,Clean_Data!$E$2:$E$118,$A69,Clean_Data!$K$2:$K$118,B$68)</f>
        <v>48780</v>
      </c>
      <c r="C69" s="18">
        <f>SUMIFS(Clean_Data!$Q$2:$Q$118,Clean_Data!$E$2:$E$118,$A69,Clean_Data!$K$2:$K$118,C$68)</f>
        <v>100270</v>
      </c>
      <c r="D69" s="18">
        <f>SUMIFS(Clean_Data!$Q$2:$Q$118,Clean_Data!$E$2:$E$118,$A69,Clean_Data!$K$2:$K$118,D$68)</f>
        <v>1298150</v>
      </c>
      <c r="E69" s="18">
        <f>SUMIFS(Clean_Data!$Q$2:$Q$118,Clean_Data!$E$2:$E$118,$A69,Clean_Data!$K$2:$K$118,E$68)</f>
        <v>370800</v>
      </c>
      <c r="F69" s="22">
        <f>SUM(B69:E69)</f>
        <v>1818000</v>
      </c>
    </row>
    <row r="70" spans="1:6" x14ac:dyDescent="0.25">
      <c r="A70" s="6" t="s">
        <v>96</v>
      </c>
      <c r="B70" s="18">
        <f>SUMIFS(Clean_Data!$Q$2:$Q$118,Clean_Data!$E$2:$E$118,$A70,Clean_Data!$K$2:$K$118,B$68)</f>
        <v>21060</v>
      </c>
      <c r="C70" s="18">
        <f>SUMIFS(Clean_Data!$Q$2:$Q$118,Clean_Data!$E$2:$E$118,$A70,Clean_Data!$K$2:$K$118,C$68)</f>
        <v>35540</v>
      </c>
      <c r="D70" s="18">
        <f>SUMIFS(Clean_Data!$Q$2:$Q$118,Clean_Data!$E$2:$E$118,$A70,Clean_Data!$K$2:$K$118,D$68)</f>
        <v>705950</v>
      </c>
      <c r="E70" s="18">
        <f>SUMIFS(Clean_Data!$Q$2:$Q$118,Clean_Data!$E$2:$E$118,$A70,Clean_Data!$K$2:$K$118,E$68)</f>
        <v>508650</v>
      </c>
      <c r="F70" s="22">
        <f>SUM(B70:E70)</f>
        <v>1271200</v>
      </c>
    </row>
    <row r="71" spans="1:6" x14ac:dyDescent="0.25">
      <c r="A71" s="6" t="s">
        <v>97</v>
      </c>
      <c r="B71" s="18">
        <f>SUMIFS(Clean_Data!$Q$2:$Q$118,Clean_Data!$E$2:$E$118,$A71,Clean_Data!$K$2:$K$118,B$68)</f>
        <v>50130</v>
      </c>
      <c r="C71" s="18">
        <f>SUMIFS(Clean_Data!$Q$2:$Q$118,Clean_Data!$E$2:$E$118,$A71,Clean_Data!$K$2:$K$118,C$68)</f>
        <v>38200</v>
      </c>
      <c r="D71" s="18">
        <f>SUMIFS(Clean_Data!$Q$2:$Q$118,Clean_Data!$E$2:$E$118,$A71,Clean_Data!$K$2:$K$118,D$68)</f>
        <v>348325</v>
      </c>
      <c r="E71" s="18">
        <f>SUMIFS(Clean_Data!$Q$2:$Q$118,Clean_Data!$E$2:$E$118,$A71,Clean_Data!$K$2:$K$118,E$68)</f>
        <v>283665</v>
      </c>
      <c r="F71" s="22">
        <f>SUM(B71:E71)</f>
        <v>720320</v>
      </c>
    </row>
    <row r="72" spans="1:6" x14ac:dyDescent="0.25">
      <c r="A72" s="20" t="s">
        <v>98</v>
      </c>
      <c r="B72" s="22">
        <f>SUM(B69:B71)</f>
        <v>119970</v>
      </c>
      <c r="C72" s="22">
        <f>SUM(C69:C71)</f>
        <v>174010</v>
      </c>
      <c r="D72" s="22">
        <f>SUM(D69:D71)</f>
        <v>2352425</v>
      </c>
      <c r="E72" s="22">
        <f>SUM(E69:E71)</f>
        <v>1163115</v>
      </c>
      <c r="F72" s="22">
        <f>SUM(F69:F71)</f>
        <v>3809520</v>
      </c>
    </row>
    <row r="75" spans="1:6" ht="15.75" x14ac:dyDescent="0.25">
      <c r="A75" s="5" t="s">
        <v>137</v>
      </c>
    </row>
    <row r="76" spans="1:6" ht="25.5" x14ac:dyDescent="0.25">
      <c r="A76" s="2" t="s">
        <v>90</v>
      </c>
      <c r="B76" s="2" t="s">
        <v>100</v>
      </c>
      <c r="C76" s="2" t="s">
        <v>101</v>
      </c>
      <c r="D76" s="2" t="s">
        <v>102</v>
      </c>
      <c r="E76" s="2" t="s">
        <v>103</v>
      </c>
      <c r="F76" s="2" t="s">
        <v>98</v>
      </c>
    </row>
    <row r="77" spans="1:6" x14ac:dyDescent="0.25">
      <c r="A77" s="6" t="s">
        <v>95</v>
      </c>
      <c r="B77" s="18">
        <f>SUMIFS(Clean_Data!$S$2:$S$118,Clean_Data!$E$2:$E$118,$A77,Clean_Data!$K$2:$K$118,B$76)</f>
        <v>19079.999999999996</v>
      </c>
      <c r="C77" s="18">
        <f>SUMIFS(Clean_Data!$S$2:$S$118,Clean_Data!$E$2:$E$118,$A77,Clean_Data!$K$2:$K$118,C$76)</f>
        <v>46170</v>
      </c>
      <c r="D77" s="18">
        <f>SUMIFS(Clean_Data!$S$2:$S$118,Clean_Data!$E$2:$E$118,$A77,Clean_Data!$K$2:$K$118,D$76)</f>
        <v>284150</v>
      </c>
      <c r="E77" s="18">
        <f>SUMIFS(Clean_Data!$S$2:$S$118,Clean_Data!$E$2:$E$118,$A77,Clean_Data!$K$2:$K$118,E$76)</f>
        <v>109240</v>
      </c>
      <c r="F77" s="22">
        <f>SUM(B77:E77)</f>
        <v>458640</v>
      </c>
    </row>
    <row r="78" spans="1:6" x14ac:dyDescent="0.25">
      <c r="A78" s="6" t="s">
        <v>96</v>
      </c>
      <c r="B78" s="18">
        <f>SUMIFS(Clean_Data!$S$2:$S$118,Clean_Data!$E$2:$E$118,$A78,Clean_Data!$K$2:$K$118,B$76)</f>
        <v>8189.9999999999982</v>
      </c>
      <c r="C78" s="18">
        <f>SUMIFS(Clean_Data!$S$2:$S$118,Clean_Data!$E$2:$E$118,$A78,Clean_Data!$K$2:$K$118,C$76)</f>
        <v>14740</v>
      </c>
      <c r="D78" s="18">
        <f>SUMIFS(Clean_Data!$S$2:$S$118,Clean_Data!$E$2:$E$118,$A78,Clean_Data!$K$2:$K$118,D$76)</f>
        <v>171200</v>
      </c>
      <c r="E78" s="18">
        <f>SUMIFS(Clean_Data!$S$2:$S$118,Clean_Data!$E$2:$E$118,$A78,Clean_Data!$K$2:$K$118,E$76)</f>
        <v>141400</v>
      </c>
      <c r="F78" s="22">
        <f>SUM(B78:E78)</f>
        <v>335530</v>
      </c>
    </row>
    <row r="79" spans="1:6" x14ac:dyDescent="0.25">
      <c r="A79" s="6" t="s">
        <v>97</v>
      </c>
      <c r="B79" s="18">
        <f>SUMIFS(Clean_Data!$S$2:$S$118,Clean_Data!$E$2:$E$118,$A79,Clean_Data!$K$2:$K$118,B$76)</f>
        <v>20430</v>
      </c>
      <c r="C79" s="18">
        <f>SUMIFS(Clean_Data!$S$2:$S$118,Clean_Data!$E$2:$E$118,$A79,Clean_Data!$K$2:$K$118,C$76)</f>
        <v>17900</v>
      </c>
      <c r="D79" s="18">
        <f>SUMIFS(Clean_Data!$S$2:$S$118,Clean_Data!$E$2:$E$118,$A79,Clean_Data!$K$2:$K$118,D$76)</f>
        <v>54700</v>
      </c>
      <c r="E79" s="18">
        <f>SUMIFS(Clean_Data!$S$2:$S$118,Clean_Data!$E$2:$E$118,$A79,Clean_Data!$K$2:$K$118,E$76)</f>
        <v>83920</v>
      </c>
      <c r="F79" s="22">
        <f>SUM(B79:E79)</f>
        <v>176950</v>
      </c>
    </row>
    <row r="80" spans="1:6" x14ac:dyDescent="0.25">
      <c r="A80" s="20" t="s">
        <v>98</v>
      </c>
      <c r="B80" s="22">
        <f>SUM(B77:B79)</f>
        <v>47699.999999999993</v>
      </c>
      <c r="C80" s="22">
        <f>SUM(C77:C79)</f>
        <v>78810</v>
      </c>
      <c r="D80" s="22">
        <f>SUM(D77:D79)</f>
        <v>510050</v>
      </c>
      <c r="E80" s="22">
        <f>SUM(E77:E79)</f>
        <v>334560</v>
      </c>
      <c r="F80" s="22">
        <f>SUM(F77:F79)</f>
        <v>971120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6" customWidth="1"/>
    <col min="3" max="3" width="14" customWidth="1"/>
    <col min="4" max="4" width="12" customWidth="1"/>
  </cols>
  <sheetData>
    <row r="1" spans="1:4" x14ac:dyDescent="0.25">
      <c r="A1" s="35" t="s">
        <v>140</v>
      </c>
      <c r="B1" s="35" t="s">
        <v>145</v>
      </c>
      <c r="C1" s="35" t="s">
        <v>0</v>
      </c>
      <c r="D1" s="35" t="s">
        <v>146</v>
      </c>
    </row>
    <row r="2" spans="1:4" x14ac:dyDescent="0.25">
      <c r="A2" s="36" t="s">
        <v>187</v>
      </c>
      <c r="B2" s="36" t="s">
        <v>106</v>
      </c>
      <c r="C2" s="36" t="s">
        <v>102</v>
      </c>
      <c r="D2" s="32">
        <v>55000</v>
      </c>
    </row>
    <row r="3" spans="1:4" x14ac:dyDescent="0.25">
      <c r="A3" s="36" t="s">
        <v>158</v>
      </c>
      <c r="B3" s="36" t="s">
        <v>107</v>
      </c>
      <c r="C3" s="36" t="s">
        <v>102</v>
      </c>
      <c r="D3" s="32">
        <v>18000</v>
      </c>
    </row>
    <row r="4" spans="1:4" x14ac:dyDescent="0.25">
      <c r="A4" s="36" t="s">
        <v>177</v>
      </c>
      <c r="B4" s="36" t="s">
        <v>112</v>
      </c>
      <c r="C4" s="36" t="s">
        <v>102</v>
      </c>
      <c r="D4" s="32">
        <v>2500</v>
      </c>
    </row>
    <row r="5" spans="1:4" x14ac:dyDescent="0.25">
      <c r="A5" s="36" t="s">
        <v>164</v>
      </c>
      <c r="B5" s="36" t="s">
        <v>108</v>
      </c>
      <c r="C5" s="36" t="s">
        <v>103</v>
      </c>
      <c r="D5" s="32">
        <v>7500</v>
      </c>
    </row>
    <row r="6" spans="1:4" x14ac:dyDescent="0.25">
      <c r="A6" s="36" t="s">
        <v>166</v>
      </c>
      <c r="B6" s="36" t="s">
        <v>109</v>
      </c>
      <c r="C6" s="36" t="s">
        <v>103</v>
      </c>
      <c r="D6" s="32">
        <v>12000</v>
      </c>
    </row>
    <row r="7" spans="1:4" x14ac:dyDescent="0.25">
      <c r="A7" s="36" t="s">
        <v>170</v>
      </c>
      <c r="B7" s="36" t="s">
        <v>115</v>
      </c>
      <c r="C7" s="36" t="s">
        <v>101</v>
      </c>
      <c r="D7" s="32">
        <v>1200</v>
      </c>
    </row>
    <row r="8" spans="1:4" x14ac:dyDescent="0.25">
      <c r="A8" s="36" t="s">
        <v>189</v>
      </c>
      <c r="B8" s="36" t="s">
        <v>114</v>
      </c>
      <c r="C8" s="36" t="s">
        <v>101</v>
      </c>
      <c r="D8" s="32">
        <v>2200</v>
      </c>
    </row>
    <row r="9" spans="1:4" x14ac:dyDescent="0.25">
      <c r="A9" s="36" t="s">
        <v>182</v>
      </c>
      <c r="B9" s="36" t="s">
        <v>113</v>
      </c>
      <c r="C9" s="36" t="s">
        <v>100</v>
      </c>
      <c r="D9" s="32">
        <v>1800</v>
      </c>
    </row>
    <row r="10" spans="1:4" x14ac:dyDescent="0.25">
      <c r="A10" s="36" t="s">
        <v>161</v>
      </c>
      <c r="B10" s="36" t="s">
        <v>111</v>
      </c>
      <c r="C10" s="36" t="s">
        <v>102</v>
      </c>
      <c r="D10" s="32">
        <v>3500</v>
      </c>
    </row>
    <row r="11" spans="1:4" x14ac:dyDescent="0.25">
      <c r="A11" s="36" t="s">
        <v>184</v>
      </c>
      <c r="B11" s="36" t="s">
        <v>110</v>
      </c>
      <c r="C11" s="36" t="s">
        <v>103</v>
      </c>
      <c r="D11" s="32">
        <v>2200</v>
      </c>
    </row>
  </sheetData>
  <autoFilter ref="A1:D1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2" width="16" customWidth="1"/>
    <col min="3" max="3" width="13" customWidth="1"/>
  </cols>
  <sheetData>
    <row r="1" spans="1:3" x14ac:dyDescent="0.25">
      <c r="A1" s="35" t="s">
        <v>141</v>
      </c>
      <c r="B1" s="35" t="s">
        <v>147</v>
      </c>
      <c r="C1" s="35" t="s">
        <v>301</v>
      </c>
    </row>
    <row r="2" spans="1:3" x14ac:dyDescent="0.25">
      <c r="A2" s="36" t="s">
        <v>159</v>
      </c>
      <c r="B2" s="36" t="s">
        <v>122</v>
      </c>
      <c r="C2" s="36" t="s">
        <v>96</v>
      </c>
    </row>
    <row r="3" spans="1:3" x14ac:dyDescent="0.25">
      <c r="A3" s="36" t="s">
        <v>162</v>
      </c>
      <c r="B3" s="36" t="s">
        <v>118</v>
      </c>
      <c r="C3" s="36" t="s">
        <v>95</v>
      </c>
    </row>
    <row r="4" spans="1:3" x14ac:dyDescent="0.25">
      <c r="A4" s="36" t="s">
        <v>175</v>
      </c>
      <c r="B4" s="36" t="s">
        <v>121</v>
      </c>
      <c r="C4" s="36" t="s">
        <v>97</v>
      </c>
    </row>
    <row r="5" spans="1:3" x14ac:dyDescent="0.25">
      <c r="A5" s="36" t="s">
        <v>178</v>
      </c>
      <c r="B5" s="36" t="s">
        <v>120</v>
      </c>
      <c r="C5" s="36" t="s">
        <v>96</v>
      </c>
    </row>
    <row r="6" spans="1:3" x14ac:dyDescent="0.25">
      <c r="A6" s="36" t="s">
        <v>171</v>
      </c>
      <c r="B6" s="36" t="s">
        <v>119</v>
      </c>
      <c r="C6" s="36" t="s">
        <v>95</v>
      </c>
    </row>
    <row r="7" spans="1:3" x14ac:dyDescent="0.25">
      <c r="A7" s="36" t="s">
        <v>168</v>
      </c>
      <c r="B7" s="36" t="s">
        <v>125</v>
      </c>
      <c r="C7" s="36" t="s">
        <v>97</v>
      </c>
    </row>
    <row r="8" spans="1:3" x14ac:dyDescent="0.25">
      <c r="A8" s="36" t="s">
        <v>185</v>
      </c>
      <c r="B8" s="36" t="s">
        <v>124</v>
      </c>
      <c r="C8" s="36" t="s">
        <v>96</v>
      </c>
    </row>
    <row r="9" spans="1:3" x14ac:dyDescent="0.25">
      <c r="A9" s="36" t="s">
        <v>190</v>
      </c>
      <c r="B9" s="36" t="s">
        <v>123</v>
      </c>
      <c r="C9" s="36" t="s">
        <v>95</v>
      </c>
    </row>
  </sheetData>
  <autoFilter ref="A1:C9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showGridLines="0" zoomScaleNormal="100" workbookViewId="0"/>
  </sheetViews>
  <sheetFormatPr defaultColWidth="8.7109375" defaultRowHeight="15" x14ac:dyDescent="0.25"/>
  <cols>
    <col min="1" max="1" width="16" customWidth="1"/>
    <col min="2" max="2" width="24" customWidth="1"/>
  </cols>
  <sheetData>
    <row r="1" spans="1:2" ht="20.25" x14ac:dyDescent="0.3">
      <c r="A1" s="3" t="s">
        <v>302</v>
      </c>
    </row>
    <row r="2" spans="1:2" x14ac:dyDescent="0.25">
      <c r="A2" s="4" t="s">
        <v>303</v>
      </c>
    </row>
    <row r="4" spans="1:2" x14ac:dyDescent="0.25">
      <c r="A4" s="38" t="s">
        <v>0</v>
      </c>
      <c r="B4" s="38" t="s">
        <v>304</v>
      </c>
    </row>
    <row r="5" spans="1:2" x14ac:dyDescent="0.25">
      <c r="A5" s="6" t="s">
        <v>102</v>
      </c>
      <c r="B5" s="39">
        <v>0.75</v>
      </c>
    </row>
    <row r="6" spans="1:2" x14ac:dyDescent="0.25">
      <c r="A6" s="6" t="s">
        <v>103</v>
      </c>
      <c r="B6" s="39">
        <v>0.65</v>
      </c>
    </row>
    <row r="7" spans="1:2" x14ac:dyDescent="0.25">
      <c r="A7" s="6" t="s">
        <v>101</v>
      </c>
      <c r="B7" s="39">
        <v>0.5</v>
      </c>
    </row>
    <row r="8" spans="1:2" x14ac:dyDescent="0.25">
      <c r="A8" s="6" t="s">
        <v>100</v>
      </c>
      <c r="B8" s="39">
        <v>0.55000000000000004</v>
      </c>
    </row>
    <row r="10" spans="1:2" x14ac:dyDescent="0.25">
      <c r="A10" s="40" t="s">
        <v>305</v>
      </c>
    </row>
    <row r="11" spans="1:2" x14ac:dyDescent="0.25">
      <c r="A11" s="40" t="s">
        <v>306</v>
      </c>
    </row>
    <row r="12" spans="1:2" x14ac:dyDescent="0.25">
      <c r="A12" s="40" t="s">
        <v>307</v>
      </c>
    </row>
    <row r="13" spans="1:2" x14ac:dyDescent="0.25">
      <c r="A13" s="40" t="s">
        <v>308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</sheetPr>
  <dimension ref="A1:F28"/>
  <sheetViews>
    <sheetView showGridLines="0" zoomScaleNormal="100" workbookViewId="0"/>
  </sheetViews>
  <sheetFormatPr defaultColWidth="8.7109375" defaultRowHeight="15" x14ac:dyDescent="0.25"/>
  <cols>
    <col min="1" max="1" width="38" customWidth="1"/>
    <col min="2" max="2" width="18" customWidth="1"/>
    <col min="3" max="3" width="10" customWidth="1"/>
    <col min="4" max="4" width="40" customWidth="1"/>
    <col min="5" max="5" width="52" customWidth="1"/>
    <col min="6" max="6" width="16" customWidth="1"/>
  </cols>
  <sheetData>
    <row r="1" spans="1:6" ht="20.25" x14ac:dyDescent="0.3">
      <c r="A1" s="3" t="s">
        <v>309</v>
      </c>
    </row>
    <row r="2" spans="1:6" x14ac:dyDescent="0.25">
      <c r="A2" s="4" t="s">
        <v>310</v>
      </c>
    </row>
    <row r="4" spans="1:6" ht="25.5" x14ac:dyDescent="0.25">
      <c r="A4" s="2" t="s">
        <v>311</v>
      </c>
      <c r="B4" s="2" t="s">
        <v>312</v>
      </c>
      <c r="C4" s="2" t="s">
        <v>313</v>
      </c>
      <c r="D4" s="2" t="s">
        <v>314</v>
      </c>
      <c r="E4" s="2" t="s">
        <v>315</v>
      </c>
      <c r="F4" s="2" t="s">
        <v>316</v>
      </c>
    </row>
    <row r="5" spans="1:6" ht="31.5" customHeight="1" x14ac:dyDescent="0.25">
      <c r="A5" s="41" t="s">
        <v>317</v>
      </c>
      <c r="B5" s="41" t="s">
        <v>318</v>
      </c>
      <c r="C5" s="42">
        <v>3</v>
      </c>
      <c r="D5" s="41" t="s">
        <v>319</v>
      </c>
      <c r="E5" s="41" t="s">
        <v>320</v>
      </c>
      <c r="F5" s="41" t="s">
        <v>321</v>
      </c>
    </row>
    <row r="6" spans="1:6" ht="31.5" customHeight="1" x14ac:dyDescent="0.25">
      <c r="A6" s="41" t="s">
        <v>322</v>
      </c>
      <c r="B6" s="41" t="s">
        <v>90</v>
      </c>
      <c r="C6" s="42">
        <v>5</v>
      </c>
      <c r="D6" s="41" t="s">
        <v>323</v>
      </c>
      <c r="E6" s="41" t="s">
        <v>324</v>
      </c>
      <c r="F6" s="41"/>
    </row>
    <row r="7" spans="1:6" ht="31.5" customHeight="1" x14ac:dyDescent="0.25">
      <c r="A7" s="41" t="s">
        <v>325</v>
      </c>
      <c r="B7" s="41" t="s">
        <v>90</v>
      </c>
      <c r="C7" s="42">
        <v>7</v>
      </c>
      <c r="D7" s="41" t="s">
        <v>326</v>
      </c>
      <c r="E7" s="41" t="s">
        <v>327</v>
      </c>
      <c r="F7" s="41"/>
    </row>
    <row r="8" spans="1:6" ht="31.5" customHeight="1" x14ac:dyDescent="0.25">
      <c r="A8" s="41" t="s">
        <v>325</v>
      </c>
      <c r="B8" s="41" t="s">
        <v>142</v>
      </c>
      <c r="C8" s="42">
        <v>6</v>
      </c>
      <c r="D8" s="41" t="s">
        <v>326</v>
      </c>
      <c r="E8" s="41" t="s">
        <v>328</v>
      </c>
      <c r="F8" s="41"/>
    </row>
    <row r="9" spans="1:6" ht="31.5" customHeight="1" x14ac:dyDescent="0.25">
      <c r="A9" s="41" t="s">
        <v>329</v>
      </c>
      <c r="B9" s="41" t="s">
        <v>138</v>
      </c>
      <c r="C9" s="42">
        <v>3</v>
      </c>
      <c r="D9" s="41" t="s">
        <v>330</v>
      </c>
      <c r="E9" s="41" t="s">
        <v>331</v>
      </c>
      <c r="F9" s="41" t="s">
        <v>332</v>
      </c>
    </row>
    <row r="10" spans="1:6" ht="31.5" customHeight="1" x14ac:dyDescent="0.25">
      <c r="A10" s="41" t="s">
        <v>333</v>
      </c>
      <c r="B10" s="41" t="s">
        <v>334</v>
      </c>
      <c r="C10" s="42">
        <v>21</v>
      </c>
      <c r="D10" s="41" t="s">
        <v>335</v>
      </c>
      <c r="E10" s="41" t="s">
        <v>336</v>
      </c>
      <c r="F10" s="41" t="s">
        <v>337</v>
      </c>
    </row>
    <row r="11" spans="1:6" ht="31.5" customHeight="1" x14ac:dyDescent="0.25">
      <c r="A11" s="41" t="s">
        <v>338</v>
      </c>
      <c r="B11" s="41" t="s">
        <v>2</v>
      </c>
      <c r="C11" s="42">
        <v>117</v>
      </c>
      <c r="D11" s="41" t="s">
        <v>339</v>
      </c>
      <c r="E11" s="41" t="s">
        <v>340</v>
      </c>
      <c r="F11" s="41" t="s">
        <v>341</v>
      </c>
    </row>
    <row r="14" spans="1:6" ht="15.75" x14ac:dyDescent="0.25">
      <c r="A14" s="5" t="s">
        <v>342</v>
      </c>
    </row>
    <row r="15" spans="1:6" x14ac:dyDescent="0.25">
      <c r="A15" s="2" t="s">
        <v>343</v>
      </c>
      <c r="B15" s="2" t="s">
        <v>312</v>
      </c>
      <c r="C15" s="2" t="s">
        <v>313</v>
      </c>
      <c r="D15" s="2" t="s">
        <v>344</v>
      </c>
      <c r="E15" s="2"/>
      <c r="F15" s="2"/>
    </row>
    <row r="16" spans="1:6" x14ac:dyDescent="0.25">
      <c r="A16" s="16" t="s">
        <v>345</v>
      </c>
      <c r="B16" s="16" t="s">
        <v>346</v>
      </c>
      <c r="C16" s="43">
        <v>0</v>
      </c>
      <c r="D16" s="16" t="s">
        <v>347</v>
      </c>
    </row>
    <row r="17" spans="1:4" x14ac:dyDescent="0.25">
      <c r="A17" s="16" t="s">
        <v>348</v>
      </c>
      <c r="B17" s="16" t="s">
        <v>349</v>
      </c>
      <c r="C17" s="43">
        <v>0</v>
      </c>
      <c r="D17" s="16" t="s">
        <v>347</v>
      </c>
    </row>
    <row r="18" spans="1:4" x14ac:dyDescent="0.25">
      <c r="A18" s="16" t="s">
        <v>350</v>
      </c>
      <c r="B18" s="16" t="s">
        <v>139</v>
      </c>
      <c r="C18" s="43">
        <v>0</v>
      </c>
      <c r="D18" s="16" t="s">
        <v>351</v>
      </c>
    </row>
    <row r="19" spans="1:4" x14ac:dyDescent="0.25">
      <c r="A19" s="16" t="s">
        <v>352</v>
      </c>
      <c r="B19" s="16" t="s">
        <v>353</v>
      </c>
      <c r="C19" s="43">
        <v>0</v>
      </c>
      <c r="D19" s="16" t="s">
        <v>354</v>
      </c>
    </row>
    <row r="20" spans="1:4" x14ac:dyDescent="0.25">
      <c r="A20" s="16" t="s">
        <v>355</v>
      </c>
      <c r="B20" s="16" t="s">
        <v>356</v>
      </c>
      <c r="C20" s="43">
        <v>0</v>
      </c>
      <c r="D20" s="16" t="s">
        <v>357</v>
      </c>
    </row>
    <row r="21" spans="1:4" x14ac:dyDescent="0.25">
      <c r="A21" s="16" t="s">
        <v>358</v>
      </c>
      <c r="B21" s="16" t="s">
        <v>144</v>
      </c>
      <c r="C21" s="43">
        <v>0</v>
      </c>
      <c r="D21" s="16" t="s">
        <v>359</v>
      </c>
    </row>
    <row r="22" spans="1:4" x14ac:dyDescent="0.25">
      <c r="A22" s="16" t="s">
        <v>360</v>
      </c>
      <c r="B22" s="16" t="s">
        <v>361</v>
      </c>
      <c r="C22" s="43">
        <v>0</v>
      </c>
      <c r="D22" s="16" t="s">
        <v>362</v>
      </c>
    </row>
    <row r="25" spans="1:4" ht="15.75" x14ac:dyDescent="0.25">
      <c r="A25" s="5" t="s">
        <v>363</v>
      </c>
    </row>
    <row r="26" spans="1:4" x14ac:dyDescent="0.25">
      <c r="A26" s="36" t="s">
        <v>364</v>
      </c>
      <c r="C26" s="32">
        <f>COUNTA(Raw_Data!$A$2:$A$121)</f>
        <v>120</v>
      </c>
    </row>
    <row r="27" spans="1:4" x14ac:dyDescent="0.25">
      <c r="A27" s="36" t="s">
        <v>365</v>
      </c>
      <c r="C27" s="32">
        <v>3</v>
      </c>
    </row>
    <row r="28" spans="1:4" x14ac:dyDescent="0.25">
      <c r="A28" s="44" t="s">
        <v>366</v>
      </c>
      <c r="C28" s="45">
        <f>COUNTA(Clean_Data!$A$2:$A$118)</f>
        <v>117</v>
      </c>
      <c r="D28" s="44" t="str">
        <f>IF(C26-C27=C28,"Reconciles","CHECK")</f>
        <v>Reconciles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8"/>
  <sheetViews>
    <sheetView showGridLines="0" topLeftCell="D1" zoomScaleNormal="100" workbookViewId="0"/>
  </sheetViews>
  <sheetFormatPr defaultColWidth="8.7109375" defaultRowHeight="15" x14ac:dyDescent="0.25"/>
  <cols>
    <col min="1" max="1" width="26" customWidth="1"/>
    <col min="2" max="2" width="110" customWidth="1"/>
  </cols>
  <sheetData>
    <row r="1" spans="1:2" ht="20.25" x14ac:dyDescent="0.3">
      <c r="A1" s="3" t="s">
        <v>367</v>
      </c>
    </row>
    <row r="2" spans="1:2" x14ac:dyDescent="0.25">
      <c r="A2" s="4" t="s">
        <v>368</v>
      </c>
    </row>
    <row r="4" spans="1:2" x14ac:dyDescent="0.25">
      <c r="A4" s="46" t="s">
        <v>369</v>
      </c>
      <c r="B4" s="47"/>
    </row>
    <row r="5" spans="1:2" ht="15.75" customHeight="1" x14ac:dyDescent="0.25">
      <c r="A5" s="48" t="s">
        <v>370</v>
      </c>
      <c r="B5" s="14" t="s">
        <v>371</v>
      </c>
    </row>
    <row r="6" spans="1:2" ht="15.75" customHeight="1" x14ac:dyDescent="0.25">
      <c r="A6" s="48" t="s">
        <v>3</v>
      </c>
      <c r="B6" s="14" t="s">
        <v>372</v>
      </c>
    </row>
    <row r="7" spans="1:2" ht="15.75" customHeight="1" x14ac:dyDescent="0.25">
      <c r="A7" s="48" t="s">
        <v>373</v>
      </c>
      <c r="B7" s="14" t="s">
        <v>374</v>
      </c>
    </row>
    <row r="8" spans="1:2" ht="15.75" customHeight="1" x14ac:dyDescent="0.25">
      <c r="A8" s="48" t="s">
        <v>375</v>
      </c>
      <c r="B8" s="14" t="s">
        <v>376</v>
      </c>
    </row>
    <row r="9" spans="1:2" ht="15.75" customHeight="1" x14ac:dyDescent="0.25">
      <c r="A9" s="48" t="s">
        <v>349</v>
      </c>
      <c r="B9" s="14" t="s">
        <v>377</v>
      </c>
    </row>
    <row r="10" spans="1:2" ht="15.75" customHeight="1" x14ac:dyDescent="0.25">
      <c r="A10" s="48" t="s">
        <v>378</v>
      </c>
      <c r="B10" s="14" t="s">
        <v>379</v>
      </c>
    </row>
    <row r="11" spans="1:2" ht="15.75" customHeight="1" x14ac:dyDescent="0.25">
      <c r="A11" s="48" t="s">
        <v>302</v>
      </c>
      <c r="B11" s="14" t="s">
        <v>380</v>
      </c>
    </row>
    <row r="12" spans="1:2" ht="15.75" customHeight="1" x14ac:dyDescent="0.25">
      <c r="A12" s="48" t="s">
        <v>381</v>
      </c>
      <c r="B12" s="14" t="s">
        <v>382</v>
      </c>
    </row>
    <row r="13" spans="1:2" ht="15.75" customHeight="1" x14ac:dyDescent="0.25">
      <c r="A13" s="48" t="s">
        <v>383</v>
      </c>
      <c r="B13" s="14" t="s">
        <v>384</v>
      </c>
    </row>
    <row r="15" spans="1:2" x14ac:dyDescent="0.25">
      <c r="A15" s="46" t="s">
        <v>385</v>
      </c>
      <c r="B15" s="47"/>
    </row>
    <row r="16" spans="1:2" ht="15.75" customHeight="1" x14ac:dyDescent="0.25">
      <c r="A16" s="48" t="s">
        <v>386</v>
      </c>
      <c r="B16" s="14" t="s">
        <v>387</v>
      </c>
    </row>
    <row r="17" spans="1:2" ht="15.75" customHeight="1" x14ac:dyDescent="0.25">
      <c r="A17" s="48" t="s">
        <v>388</v>
      </c>
      <c r="B17" s="14" t="s">
        <v>389</v>
      </c>
    </row>
    <row r="18" spans="1:2" ht="15.75" customHeight="1" x14ac:dyDescent="0.25">
      <c r="A18" s="48" t="s">
        <v>390</v>
      </c>
      <c r="B18" s="14" t="s">
        <v>391</v>
      </c>
    </row>
    <row r="19" spans="1:2" ht="15.75" customHeight="1" x14ac:dyDescent="0.25">
      <c r="A19" s="48" t="s">
        <v>392</v>
      </c>
      <c r="B19" s="14" t="s">
        <v>393</v>
      </c>
    </row>
    <row r="21" spans="1:2" x14ac:dyDescent="0.25">
      <c r="A21" s="46" t="s">
        <v>394</v>
      </c>
      <c r="B21" s="47"/>
    </row>
    <row r="22" spans="1:2" ht="30" customHeight="1" x14ac:dyDescent="0.25">
      <c r="A22" s="48" t="s">
        <v>395</v>
      </c>
      <c r="B22" s="14" t="s">
        <v>396</v>
      </c>
    </row>
    <row r="23" spans="1:2" ht="15.75" customHeight="1" x14ac:dyDescent="0.25">
      <c r="A23" s="48" t="s">
        <v>21</v>
      </c>
      <c r="B23" s="14" t="s">
        <v>22</v>
      </c>
    </row>
    <row r="24" spans="1:2" ht="15.75" customHeight="1" x14ac:dyDescent="0.25">
      <c r="A24" s="48" t="s">
        <v>1</v>
      </c>
      <c r="B24" s="14" t="s">
        <v>397</v>
      </c>
    </row>
    <row r="25" spans="1:2" ht="15.75" customHeight="1" x14ac:dyDescent="0.25">
      <c r="A25" s="48" t="s">
        <v>398</v>
      </c>
      <c r="B25" s="14" t="s">
        <v>399</v>
      </c>
    </row>
    <row r="26" spans="1:2" ht="15.75" customHeight="1" x14ac:dyDescent="0.25">
      <c r="A26" s="48" t="s">
        <v>127</v>
      </c>
      <c r="B26" s="14" t="s">
        <v>400</v>
      </c>
    </row>
    <row r="27" spans="1:2" ht="15.75" customHeight="1" x14ac:dyDescent="0.25">
      <c r="A27" s="48" t="s">
        <v>401</v>
      </c>
      <c r="B27" s="14" t="s">
        <v>402</v>
      </c>
    </row>
    <row r="29" spans="1:2" x14ac:dyDescent="0.25">
      <c r="A29" s="46" t="s">
        <v>403</v>
      </c>
      <c r="B29" s="47"/>
    </row>
    <row r="30" spans="1:2" ht="30" customHeight="1" x14ac:dyDescent="0.25">
      <c r="A30" s="48" t="s">
        <v>404</v>
      </c>
      <c r="B30" s="14" t="s">
        <v>405</v>
      </c>
    </row>
    <row r="31" spans="1:2" ht="15.75" customHeight="1" x14ac:dyDescent="0.25">
      <c r="A31" s="48" t="s">
        <v>406</v>
      </c>
      <c r="B31" s="14" t="s">
        <v>407</v>
      </c>
    </row>
    <row r="32" spans="1:2" ht="15.75" customHeight="1" x14ac:dyDescent="0.25">
      <c r="A32" s="48" t="s">
        <v>408</v>
      </c>
      <c r="B32" s="14" t="s">
        <v>409</v>
      </c>
    </row>
    <row r="34" spans="1:2" x14ac:dyDescent="0.25">
      <c r="A34" s="46" t="s">
        <v>410</v>
      </c>
      <c r="B34" s="47"/>
    </row>
    <row r="35" spans="1:2" ht="30" customHeight="1" x14ac:dyDescent="0.25">
      <c r="A35" s="48" t="s">
        <v>411</v>
      </c>
      <c r="B35" s="14" t="s">
        <v>412</v>
      </c>
    </row>
    <row r="36" spans="1:2" ht="15.75" customHeight="1" x14ac:dyDescent="0.25">
      <c r="A36" s="48" t="s">
        <v>413</v>
      </c>
      <c r="B36" s="14" t="s">
        <v>414</v>
      </c>
    </row>
    <row r="37" spans="1:2" ht="15.75" customHeight="1" x14ac:dyDescent="0.25">
      <c r="A37" s="48" t="s">
        <v>2</v>
      </c>
      <c r="B37" s="14" t="s">
        <v>415</v>
      </c>
    </row>
    <row r="38" spans="1:2" ht="15.75" customHeight="1" x14ac:dyDescent="0.25">
      <c r="A38" s="48" t="s">
        <v>416</v>
      </c>
      <c r="B38" s="14" t="s">
        <v>417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3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4" width="16" customWidth="1"/>
  </cols>
  <sheetData>
    <row r="1" spans="1:4" ht="20.25" x14ac:dyDescent="0.3">
      <c r="A1" s="3" t="s">
        <v>383</v>
      </c>
    </row>
    <row r="2" spans="1:4" x14ac:dyDescent="0.25">
      <c r="A2" s="4" t="s">
        <v>418</v>
      </c>
    </row>
    <row r="3" spans="1:4" x14ac:dyDescent="0.25">
      <c r="A3" s="44" t="s">
        <v>419</v>
      </c>
      <c r="B3" s="36" t="e">
        <f>IF(#REF!="All","*",#REF!)</f>
        <v>#REF!</v>
      </c>
    </row>
    <row r="4" spans="1:4" x14ac:dyDescent="0.25">
      <c r="A4" s="44" t="s">
        <v>420</v>
      </c>
      <c r="B4" s="36" t="e">
        <f>IF(#REF!="All","*",#REF!)</f>
        <v>#REF!</v>
      </c>
    </row>
    <row r="6" spans="1:4" x14ac:dyDescent="0.25">
      <c r="A6" s="2" t="s">
        <v>127</v>
      </c>
      <c r="B6" s="2" t="s">
        <v>421</v>
      </c>
      <c r="C6" s="2" t="s">
        <v>1</v>
      </c>
      <c r="D6" s="2" t="s">
        <v>2</v>
      </c>
    </row>
    <row r="7" spans="1:4" x14ac:dyDescent="0.25">
      <c r="A7" s="36" t="s">
        <v>422</v>
      </c>
      <c r="B7" s="49">
        <v>46023</v>
      </c>
      <c r="C7" s="32">
        <f>SUMIFS(Clean_Data!$Q$2:$Q$118,Clean_Data!$U$2:$U$118,$B7,Clean_Data!$E$2:$E$118,$B$3,Clean_Data!$K$2:$K$118,$B$4)</f>
        <v>0</v>
      </c>
      <c r="D7" s="32">
        <f>SUMIFS(Clean_Data!$S$2:$S$118,Clean_Data!$U$2:$U$118,$B7,Clean_Data!$E$2:$E$118,$B$3,Clean_Data!$K$2:$K$118,$B$4)</f>
        <v>0</v>
      </c>
    </row>
    <row r="8" spans="1:4" x14ac:dyDescent="0.25">
      <c r="A8" s="36" t="s">
        <v>423</v>
      </c>
      <c r="B8" s="49">
        <v>46054</v>
      </c>
      <c r="C8" s="32">
        <f>SUMIFS(Clean_Data!$Q$2:$Q$118,Clean_Data!$U$2:$U$118,$B8,Clean_Data!$E$2:$E$118,$B$3,Clean_Data!$K$2:$K$118,$B$4)</f>
        <v>0</v>
      </c>
      <c r="D8" s="32">
        <f>SUMIFS(Clean_Data!$S$2:$S$118,Clean_Data!$U$2:$U$118,$B8,Clean_Data!$E$2:$E$118,$B$3,Clean_Data!$K$2:$K$118,$B$4)</f>
        <v>0</v>
      </c>
    </row>
    <row r="9" spans="1:4" x14ac:dyDescent="0.25">
      <c r="A9" s="36" t="s">
        <v>424</v>
      </c>
      <c r="B9" s="49">
        <v>46082</v>
      </c>
      <c r="C9" s="32">
        <f>SUMIFS(Clean_Data!$Q$2:$Q$118,Clean_Data!$U$2:$U$118,$B9,Clean_Data!$E$2:$E$118,$B$3,Clean_Data!$K$2:$K$118,$B$4)</f>
        <v>0</v>
      </c>
      <c r="D9" s="32">
        <f>SUMIFS(Clean_Data!$S$2:$S$118,Clean_Data!$U$2:$U$118,$B9,Clean_Data!$E$2:$E$118,$B$3,Clean_Data!$K$2:$K$118,$B$4)</f>
        <v>0</v>
      </c>
    </row>
    <row r="10" spans="1:4" x14ac:dyDescent="0.25">
      <c r="A10" s="36" t="s">
        <v>425</v>
      </c>
      <c r="B10" s="49">
        <v>46113</v>
      </c>
      <c r="C10" s="32">
        <f>SUMIFS(Clean_Data!$Q$2:$Q$118,Clean_Data!$U$2:$U$118,$B10,Clean_Data!$E$2:$E$118,$B$3,Clean_Data!$K$2:$K$118,$B$4)</f>
        <v>0</v>
      </c>
      <c r="D10" s="32">
        <f>SUMIFS(Clean_Data!$S$2:$S$118,Clean_Data!$U$2:$U$118,$B10,Clean_Data!$E$2:$E$118,$B$3,Clean_Data!$K$2:$K$118,$B$4)</f>
        <v>0</v>
      </c>
    </row>
    <row r="12" spans="1:4" ht="25.5" x14ac:dyDescent="0.25">
      <c r="A12" s="2" t="s">
        <v>426</v>
      </c>
      <c r="B12" s="2" t="s">
        <v>1</v>
      </c>
      <c r="C12" s="2" t="s">
        <v>2</v>
      </c>
    </row>
    <row r="13" spans="1:4" x14ac:dyDescent="0.25">
      <c r="A13" s="36" t="s">
        <v>100</v>
      </c>
      <c r="B13" s="32">
        <f>SUMIFS(Clean_Data!$Q$2:$Q$118,Clean_Data!$K$2:$K$118,$A13,Clean_Data!$E$2:$E$118,$B$3)</f>
        <v>0</v>
      </c>
      <c r="C13" s="32">
        <f>SUMIFS(Clean_Data!$S$2:$S$118,Clean_Data!$K$2:$K$118,$A13,Clean_Data!$E$2:$E$118,$B$3)</f>
        <v>0</v>
      </c>
    </row>
    <row r="14" spans="1:4" x14ac:dyDescent="0.25">
      <c r="A14" s="36" t="s">
        <v>101</v>
      </c>
      <c r="B14" s="32">
        <f>SUMIFS(Clean_Data!$Q$2:$Q$118,Clean_Data!$K$2:$K$118,$A14,Clean_Data!$E$2:$E$118,$B$3)</f>
        <v>0</v>
      </c>
      <c r="C14" s="32">
        <f>SUMIFS(Clean_Data!$S$2:$S$118,Clean_Data!$K$2:$K$118,$A14,Clean_Data!$E$2:$E$118,$B$3)</f>
        <v>0</v>
      </c>
    </row>
    <row r="15" spans="1:4" x14ac:dyDescent="0.25">
      <c r="A15" s="36" t="s">
        <v>102</v>
      </c>
      <c r="B15" s="32">
        <f>SUMIFS(Clean_Data!$Q$2:$Q$118,Clean_Data!$K$2:$K$118,$A15,Clean_Data!$E$2:$E$118,$B$3)</f>
        <v>0</v>
      </c>
      <c r="C15" s="32">
        <f>SUMIFS(Clean_Data!$S$2:$S$118,Clean_Data!$K$2:$K$118,$A15,Clean_Data!$E$2:$E$118,$B$3)</f>
        <v>0</v>
      </c>
    </row>
    <row r="16" spans="1:4" x14ac:dyDescent="0.25">
      <c r="A16" s="36" t="s">
        <v>103</v>
      </c>
      <c r="B16" s="32">
        <f>SUMIFS(Clean_Data!$Q$2:$Q$118,Clean_Data!$K$2:$K$118,$A16,Clean_Data!$E$2:$E$118,$B$3)</f>
        <v>0</v>
      </c>
      <c r="C16" s="32">
        <f>SUMIFS(Clean_Data!$S$2:$S$118,Clean_Data!$K$2:$K$118,$A16,Clean_Data!$E$2:$E$118,$B$3)</f>
        <v>0</v>
      </c>
    </row>
    <row r="18" spans="1:2" ht="25.5" x14ac:dyDescent="0.25">
      <c r="A18" s="2" t="s">
        <v>427</v>
      </c>
      <c r="B18" s="2" t="s">
        <v>1</v>
      </c>
    </row>
    <row r="19" spans="1:2" x14ac:dyDescent="0.25">
      <c r="A19" s="36" t="s">
        <v>95</v>
      </c>
      <c r="B19" s="32">
        <f>SUMIFS(Clean_Data!$Q$2:$Q$118,Clean_Data!$E$2:$E$118,$A19,Clean_Data!$K$2:$K$118,$B$4)</f>
        <v>0</v>
      </c>
    </row>
    <row r="20" spans="1:2" x14ac:dyDescent="0.25">
      <c r="A20" s="36" t="s">
        <v>96</v>
      </c>
      <c r="B20" s="32">
        <f>SUMIFS(Clean_Data!$Q$2:$Q$118,Clean_Data!$E$2:$E$118,$A20,Clean_Data!$K$2:$K$118,$B$4)</f>
        <v>0</v>
      </c>
    </row>
    <row r="21" spans="1:2" x14ac:dyDescent="0.25">
      <c r="A21" s="36" t="s">
        <v>97</v>
      </c>
      <c r="B21" s="32">
        <f>SUMIFS(Clean_Data!$Q$2:$Q$118,Clean_Data!$E$2:$E$118,$A21,Clean_Data!$K$2:$K$118,$B$4)</f>
        <v>0</v>
      </c>
    </row>
    <row r="23" spans="1:2" ht="25.5" x14ac:dyDescent="0.25">
      <c r="A23" s="2" t="s">
        <v>428</v>
      </c>
      <c r="B23" s="2" t="s">
        <v>1</v>
      </c>
    </row>
    <row r="24" spans="1:2" x14ac:dyDescent="0.25">
      <c r="A24" s="36" t="s">
        <v>106</v>
      </c>
      <c r="B24" s="32">
        <f>SUMIFS(Clean_Data!$Q$2:$Q$118,Clean_Data!$J$2:$J$118,$A24,Clean_Data!$E$2:$E$118,$B$3,Clean_Data!$K$2:$K$118,$B$4)</f>
        <v>0</v>
      </c>
    </row>
    <row r="25" spans="1:2" x14ac:dyDescent="0.25">
      <c r="A25" s="36" t="s">
        <v>107</v>
      </c>
      <c r="B25" s="32">
        <f>SUMIFS(Clean_Data!$Q$2:$Q$118,Clean_Data!$J$2:$J$118,$A25,Clean_Data!$E$2:$E$118,$B$3,Clean_Data!$K$2:$K$118,$B$4)</f>
        <v>0</v>
      </c>
    </row>
    <row r="26" spans="1:2" x14ac:dyDescent="0.25">
      <c r="A26" s="36" t="s">
        <v>108</v>
      </c>
      <c r="B26" s="32">
        <f>SUMIFS(Clean_Data!$Q$2:$Q$118,Clean_Data!$J$2:$J$118,$A26,Clean_Data!$E$2:$E$118,$B$3,Clean_Data!$K$2:$K$118,$B$4)</f>
        <v>0</v>
      </c>
    </row>
    <row r="27" spans="1:2" x14ac:dyDescent="0.25">
      <c r="A27" s="36" t="s">
        <v>109</v>
      </c>
      <c r="B27" s="32">
        <f>SUMIFS(Clean_Data!$Q$2:$Q$118,Clean_Data!$J$2:$J$118,$A27,Clean_Data!$E$2:$E$118,$B$3,Clean_Data!$K$2:$K$118,$B$4)</f>
        <v>0</v>
      </c>
    </row>
    <row r="28" spans="1:2" x14ac:dyDescent="0.25">
      <c r="A28" s="36" t="s">
        <v>110</v>
      </c>
      <c r="B28" s="32">
        <f>SUMIFS(Clean_Data!$Q$2:$Q$118,Clean_Data!$J$2:$J$118,$A28,Clean_Data!$E$2:$E$118,$B$3,Clean_Data!$K$2:$K$118,$B$4)</f>
        <v>0</v>
      </c>
    </row>
    <row r="29" spans="1:2" x14ac:dyDescent="0.25">
      <c r="A29" s="36" t="s">
        <v>111</v>
      </c>
      <c r="B29" s="32">
        <f>SUMIFS(Clean_Data!$Q$2:$Q$118,Clean_Data!$J$2:$J$118,$A29,Clean_Data!$E$2:$E$118,$B$3,Clean_Data!$K$2:$K$118,$B$4)</f>
        <v>0</v>
      </c>
    </row>
    <row r="30" spans="1:2" x14ac:dyDescent="0.25">
      <c r="A30" s="36" t="s">
        <v>112</v>
      </c>
      <c r="B30" s="32">
        <f>SUMIFS(Clean_Data!$Q$2:$Q$118,Clean_Data!$J$2:$J$118,$A30,Clean_Data!$E$2:$E$118,$B$3,Clean_Data!$K$2:$K$118,$B$4)</f>
        <v>0</v>
      </c>
    </row>
    <row r="31" spans="1:2" x14ac:dyDescent="0.25">
      <c r="A31" s="36" t="s">
        <v>113</v>
      </c>
      <c r="B31" s="32">
        <f>SUMIFS(Clean_Data!$Q$2:$Q$118,Clean_Data!$J$2:$J$118,$A31,Clean_Data!$E$2:$E$118,$B$3,Clean_Data!$K$2:$K$118,$B$4)</f>
        <v>0</v>
      </c>
    </row>
    <row r="32" spans="1:2" x14ac:dyDescent="0.25">
      <c r="A32" s="36" t="s">
        <v>114</v>
      </c>
      <c r="B32" s="32">
        <f>SUMIFS(Clean_Data!$Q$2:$Q$118,Clean_Data!$J$2:$J$118,$A32,Clean_Data!$E$2:$E$118,$B$3,Clean_Data!$K$2:$K$118,$B$4)</f>
        <v>0</v>
      </c>
    </row>
    <row r="33" spans="1:2" x14ac:dyDescent="0.25">
      <c r="A33" s="36" t="s">
        <v>115</v>
      </c>
      <c r="B33" s="32">
        <f>SUMIFS(Clean_Data!$Q$2:$Q$118,Clean_Data!$J$2:$J$118,$A33,Clean_Data!$E$2:$E$118,$B$3,Clean_Data!$K$2:$K$118,$B$4)</f>
        <v>0</v>
      </c>
    </row>
    <row r="35" spans="1:2" ht="25.5" x14ac:dyDescent="0.25">
      <c r="A35" s="2" t="s">
        <v>429</v>
      </c>
      <c r="B35" s="2" t="s">
        <v>1</v>
      </c>
    </row>
    <row r="36" spans="1:2" x14ac:dyDescent="0.25">
      <c r="A36" s="36" t="s">
        <v>118</v>
      </c>
      <c r="B36" s="32">
        <f>SUMIFS(Clean_Data!$Q$2:$Q$118,Clean_Data!$M$2:$M$118,$A36,Clean_Data!$E$2:$E$118,$B$3,Clean_Data!$K$2:$K$118,$B$4)</f>
        <v>0</v>
      </c>
    </row>
    <row r="37" spans="1:2" x14ac:dyDescent="0.25">
      <c r="A37" s="36" t="s">
        <v>119</v>
      </c>
      <c r="B37" s="32">
        <f>SUMIFS(Clean_Data!$Q$2:$Q$118,Clean_Data!$M$2:$M$118,$A37,Clean_Data!$E$2:$E$118,$B$3,Clean_Data!$K$2:$K$118,$B$4)</f>
        <v>0</v>
      </c>
    </row>
    <row r="38" spans="1:2" x14ac:dyDescent="0.25">
      <c r="A38" s="36" t="s">
        <v>120</v>
      </c>
      <c r="B38" s="32">
        <f>SUMIFS(Clean_Data!$Q$2:$Q$118,Clean_Data!$M$2:$M$118,$A38,Clean_Data!$E$2:$E$118,$B$3,Clean_Data!$K$2:$K$118,$B$4)</f>
        <v>0</v>
      </c>
    </row>
    <row r="39" spans="1:2" x14ac:dyDescent="0.25">
      <c r="A39" s="36" t="s">
        <v>121</v>
      </c>
      <c r="B39" s="32">
        <f>SUMIFS(Clean_Data!$Q$2:$Q$118,Clean_Data!$M$2:$M$118,$A39,Clean_Data!$E$2:$E$118,$B$3,Clean_Data!$K$2:$K$118,$B$4)</f>
        <v>0</v>
      </c>
    </row>
    <row r="40" spans="1:2" x14ac:dyDescent="0.25">
      <c r="A40" s="36" t="s">
        <v>122</v>
      </c>
      <c r="B40" s="32">
        <f>SUMIFS(Clean_Data!$Q$2:$Q$118,Clean_Data!$M$2:$M$118,$A40,Clean_Data!$E$2:$E$118,$B$3,Clean_Data!$K$2:$K$118,$B$4)</f>
        <v>0</v>
      </c>
    </row>
    <row r="41" spans="1:2" x14ac:dyDescent="0.25">
      <c r="A41" s="36" t="s">
        <v>123</v>
      </c>
      <c r="B41" s="32">
        <f>SUMIFS(Clean_Data!$Q$2:$Q$118,Clean_Data!$M$2:$M$118,$A41,Clean_Data!$E$2:$E$118,$B$3,Clean_Data!$K$2:$K$118,$B$4)</f>
        <v>0</v>
      </c>
    </row>
    <row r="42" spans="1:2" x14ac:dyDescent="0.25">
      <c r="A42" s="36" t="s">
        <v>124</v>
      </c>
      <c r="B42" s="32">
        <f>SUMIFS(Clean_Data!$Q$2:$Q$118,Clean_Data!$M$2:$M$118,$A42,Clean_Data!$E$2:$E$118,$B$3,Clean_Data!$K$2:$K$118,$B$4)</f>
        <v>0</v>
      </c>
    </row>
    <row r="43" spans="1:2" x14ac:dyDescent="0.25">
      <c r="A43" s="36" t="s">
        <v>125</v>
      </c>
      <c r="B43" s="32">
        <f>SUMIFS(Clean_Data!$Q$2:$Q$118,Clean_Data!$M$2:$M$118,$A43,Clean_Data!$E$2:$E$118,$B$3,Clean_Data!$K$2:$K$118,$B$4)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Raw_Data</vt:lpstr>
      <vt:lpstr>Clean_Data</vt:lpstr>
      <vt:lpstr>Analysis</vt:lpstr>
      <vt:lpstr>Pivot_Analysis</vt:lpstr>
      <vt:lpstr>Product_Master</vt:lpstr>
      <vt:lpstr>Employee_Master</vt:lpstr>
      <vt:lpstr>Assumptions</vt:lpstr>
      <vt:lpstr>Data_Quality_Log</vt:lpstr>
      <vt:lpstr>Notes_README</vt:lpstr>
      <vt:lpstr>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syed Mohammad zaid</cp:lastModifiedBy>
  <cp:revision>1</cp:revision>
  <dcterms:created xsi:type="dcterms:W3CDTF">2026-10-01T11:59:37Z</dcterms:created>
  <dcterms:modified xsi:type="dcterms:W3CDTF">2026-10-01T12:05:14Z</dcterms:modified>
  <dc:language>en-US</dc:language>
</cp:coreProperties>
</file>