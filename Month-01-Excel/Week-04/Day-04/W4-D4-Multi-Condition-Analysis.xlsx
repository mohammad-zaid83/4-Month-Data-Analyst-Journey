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4_MONTH\4-Month-Data-Analyst-Journey\Month-01-Excel\Week-04\Day-04\"/>
    </mc:Choice>
  </mc:AlternateContent>
  <xr:revisionPtr revIDLastSave="0" documentId="13_ncr:1_{E595262F-BAF3-4144-AA99-4DD8BFEEC359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_Data" sheetId="1" r:id="rId1"/>
    <sheet name="Analysis" sheetId="2" r:id="rId2"/>
    <sheet name="Notes" sheetId="3" r:id="rId3"/>
  </sheets>
  <definedNames>
    <definedName name="Category">Sales_Data!$D$2:$D$16</definedName>
    <definedName name="City">Sales_Data!$C$2:$C$16</definedName>
    <definedName name="Employee">Sales_Data!$B$2:$B$16</definedName>
    <definedName name="Order_ID">Sales_Data!$A$2:$A$16</definedName>
    <definedName name="Profit">Sales_Data!$G$2:$G$16</definedName>
    <definedName name="Quantity">Sales_Data!$E$2:$E$16</definedName>
    <definedName name="Sales">Sales_Data!$F$2:$F$16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8" i="3" l="1"/>
  <c r="A14" i="3"/>
  <c r="A20" i="3"/>
  <c r="D14" i="2"/>
  <c r="D13" i="2"/>
  <c r="D10" i="2"/>
  <c r="D9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<sst xmlns="http://schemas.openxmlformats.org/spreadsheetml/2006/main" count="115" uniqueCount="75">
  <si>
    <t>Order_ID</t>
  </si>
  <si>
    <t>Employee</t>
  </si>
  <si>
    <t>City</t>
  </si>
  <si>
    <t>Category</t>
  </si>
  <si>
    <t>Quantity</t>
  </si>
  <si>
    <t>Sales</t>
  </si>
  <si>
    <t>Profit</t>
  </si>
  <si>
    <t>O001</t>
  </si>
  <si>
    <t>Rahul</t>
  </si>
  <si>
    <t>Lucknow</t>
  </si>
  <si>
    <t>Electronics</t>
  </si>
  <si>
    <t>O002</t>
  </si>
  <si>
    <t>Priya</t>
  </si>
  <si>
    <t>Delhi</t>
  </si>
  <si>
    <t>Clothing</t>
  </si>
  <si>
    <t>O003</t>
  </si>
  <si>
    <t>Arman</t>
  </si>
  <si>
    <t>Mumbai</t>
  </si>
  <si>
    <t>Furniture</t>
  </si>
  <si>
    <t>O004</t>
  </si>
  <si>
    <t>O005</t>
  </si>
  <si>
    <t>Hamza</t>
  </si>
  <si>
    <t>O006</t>
  </si>
  <si>
    <t>Sara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</si>
  <si>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</si>
  <si>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</si>
  <si>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</si>
  <si>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</si>
  <si>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</si>
  <si>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</si>
  <si>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</si>
  <si>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</si>
  <si>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</si>
  <si>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Part 1 - SUMIFS</t>
  </si>
  <si>
    <t>Delhi ki sales add karo.</t>
  </si>
  <si>
    <t>Delhi + Electronics ki sales</t>
  </si>
  <si>
    <r>
      <t>Lucknow + Electronics</t>
    </r>
    <r>
      <rPr>
        <sz val="11"/>
        <color theme="1"/>
        <rFont val="Calibri"/>
        <family val="2"/>
        <scheme val="minor"/>
      </rPr>
      <t xml:space="preserve"> total Sales</t>
    </r>
  </si>
  <si>
    <r>
      <t>Mumbai + Electronics</t>
    </r>
    <r>
      <rPr>
        <sz val="11"/>
        <color theme="1"/>
        <rFont val="Calibri"/>
        <family val="2"/>
        <scheme val="minor"/>
      </rPr>
      <t xml:space="preserve"> total Sales </t>
    </r>
  </si>
  <si>
    <r>
      <t>Delhi + Furniture</t>
    </r>
    <r>
      <rPr>
        <sz val="11"/>
        <color theme="1"/>
        <rFont val="Calibri"/>
        <family val="2"/>
        <scheme val="minor"/>
      </rPr>
      <t xml:space="preserve"> ki total Profit</t>
    </r>
  </si>
  <si>
    <t>Part 2 - COUNTIF</t>
  </si>
  <si>
    <t>Lucknow mein Clothing ke orders</t>
  </si>
  <si>
    <t>Mumbai mein Electronics ke orders</t>
  </si>
  <si>
    <t>Part 3 - AVERAGEIFS</t>
  </si>
  <si>
    <t xml:space="preserve">Mumbai+ Electronics ki average Sales </t>
  </si>
  <si>
    <t>Lucknow + Furniture ki average Profit</t>
  </si>
  <si>
    <t>WEEK 04 — DAY 04</t>
  </si>
  <si>
    <t>MULTI-CONDITION ANALYSIS</t>
  </si>
  <si>
    <t>SUMIFS</t>
  </si>
  <si>
    <t>→ Adds values based on multiple conditions.</t>
  </si>
  <si>
    <t>Example:</t>
  </si>
  <si>
    <t>COUNTIFS</t>
  </si>
  <si>
    <t>→ Counts records based on multiple conditions.</t>
  </si>
  <si>
    <t>AVERAGEIFS</t>
  </si>
  <si>
    <t>→ Calculates average based on multiple conditions.</t>
  </si>
  <si>
    <t>MEMORY:</t>
  </si>
  <si>
    <t>SUMIFS → Total</t>
  </si>
  <si>
    <t>COUNTIFS → Number of records</t>
  </si>
  <si>
    <t>AVERAGEIFS → Average</t>
  </si>
  <si>
    <t>The "S" means multiple criteria/conditions.</t>
  </si>
  <si>
    <t>ANALYST WORKFLOW:</t>
  </si>
  <si>
    <t>Business Question</t>
  </si>
  <si>
    <t>↓</t>
  </si>
  <si>
    <t>Identify Conditions</t>
  </si>
  <si>
    <t>Choose Function</t>
  </si>
  <si>
    <t>Calculate</t>
  </si>
  <si>
    <t>Interpret Result</t>
  </si>
  <si>
    <t>Which city-category combination has_x000D_
the highest sales?</t>
  </si>
  <si>
    <t>City + Category → SUMIFS</t>
  </si>
  <si>
    <t>→ Compare results</t>
  </si>
  <si>
    <t>→ Highest value = required combination</t>
  </si>
  <si>
    <t>KEY LEARNING:</t>
  </si>
  <si>
    <t>Complex business questions can often be</t>
  </si>
  <si>
    <t>broken into conditions and solved using</t>
  </si>
  <si>
    <t>multi-criteria functions.</t>
  </si>
  <si>
    <t>Status: COMPLETED 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</si>
</sst>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2" fillId="0" borderId="0" xfId="0" applyFont="1"/>
    <xf numFmtId="0" fontId="0" fillId="0" borderId="0" xfId="0" applyFon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zoomScale="120" zoomScaleNormal="120" workbookViewId="0">
      <selection activeCell="I4" sqref="I4"/>
    </sheetView>
  </sheetViews>
  <sheetFormatPr defaultRowHeight="15" x14ac:dyDescent="0.25"/>
  <cols>
    <col min="1" max="16384" width="9.140625" style="2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7</v>
      </c>
      <c r="B2" s="5" t="s">
        <v>8</v>
      </c>
      <c r="C2" s="5" t="s">
        <v>9</v>
      </c>
      <c r="D2" s="5" t="s">
        <v>10</v>
      </c>
      <c r="E2" s="6">
        <v>2</v>
      </c>
      <c r="F2" s="6">
        <v>110000</v>
      </c>
      <c r="G2" s="6">
        <v>18000</v>
      </c>
    </row>
    <row r="3" spans="1:7" x14ac:dyDescent="0.25">
      <c r="A3" s="5" t="s">
        <v>11</v>
      </c>
      <c r="B3" s="5" t="s">
        <v>12</v>
      </c>
      <c r="C3" s="5" t="s">
        <v>13</v>
      </c>
      <c r="D3" s="5" t="s">
        <v>14</v>
      </c>
      <c r="E3" s="6">
        <v>5</v>
      </c>
      <c r="F3" s="6">
        <v>6000</v>
      </c>
      <c r="G3" s="6">
        <v>1200</v>
      </c>
    </row>
    <row r="4" spans="1:7" x14ac:dyDescent="0.25">
      <c r="A4" s="5" t="s">
        <v>15</v>
      </c>
      <c r="B4" s="5" t="s">
        <v>16</v>
      </c>
      <c r="C4" s="5" t="s">
        <v>17</v>
      </c>
      <c r="D4" s="5" t="s">
        <v>18</v>
      </c>
      <c r="E4" s="6">
        <v>3</v>
      </c>
      <c r="F4" s="6">
        <v>15000</v>
      </c>
      <c r="G4" s="6">
        <v>3000</v>
      </c>
    </row>
    <row r="5" spans="1:7" x14ac:dyDescent="0.25">
      <c r="A5" s="5" t="s">
        <v>19</v>
      </c>
      <c r="B5" s="5" t="s">
        <v>8</v>
      </c>
      <c r="C5" s="5" t="s">
        <v>9</v>
      </c>
      <c r="D5" s="5" t="s">
        <v>10</v>
      </c>
      <c r="E5" s="6">
        <v>2</v>
      </c>
      <c r="F5" s="6">
        <v>36000</v>
      </c>
      <c r="G5" s="6">
        <v>7000</v>
      </c>
    </row>
    <row r="6" spans="1:7" x14ac:dyDescent="0.25">
      <c r="A6" s="5" t="s">
        <v>20</v>
      </c>
      <c r="B6" s="5" t="s">
        <v>21</v>
      </c>
      <c r="C6" s="5" t="s">
        <v>13</v>
      </c>
      <c r="D6" s="5" t="s">
        <v>14</v>
      </c>
      <c r="E6" s="6">
        <v>4</v>
      </c>
      <c r="F6" s="6">
        <v>4800</v>
      </c>
      <c r="G6" s="6">
        <v>900</v>
      </c>
    </row>
    <row r="7" spans="1:7" x14ac:dyDescent="0.25">
      <c r="A7" s="5" t="s">
        <v>22</v>
      </c>
      <c r="B7" s="5" t="s">
        <v>23</v>
      </c>
      <c r="C7" s="5" t="s">
        <v>17</v>
      </c>
      <c r="D7" s="5" t="s">
        <v>10</v>
      </c>
      <c r="E7" s="6">
        <v>1</v>
      </c>
      <c r="F7" s="6">
        <v>55000</v>
      </c>
      <c r="G7" s="6">
        <v>10000</v>
      </c>
    </row>
    <row r="8" spans="1:7" x14ac:dyDescent="0.25">
      <c r="A8" s="5" t="s">
        <v>24</v>
      </c>
      <c r="B8" s="5" t="s">
        <v>8</v>
      </c>
      <c r="C8" s="5" t="s">
        <v>13</v>
      </c>
      <c r="D8" s="5" t="s">
        <v>18</v>
      </c>
      <c r="E8" s="6">
        <v>5</v>
      </c>
      <c r="F8" s="6">
        <v>25000</v>
      </c>
      <c r="G8" s="6">
        <v>5000</v>
      </c>
    </row>
    <row r="9" spans="1:7" x14ac:dyDescent="0.25">
      <c r="A9" s="5" t="s">
        <v>25</v>
      </c>
      <c r="B9" s="5" t="s">
        <v>16</v>
      </c>
      <c r="C9" s="5" t="s">
        <v>9</v>
      </c>
      <c r="D9" s="5" t="s">
        <v>14</v>
      </c>
      <c r="E9" s="6">
        <v>8</v>
      </c>
      <c r="F9" s="6">
        <v>9600</v>
      </c>
      <c r="G9" s="6">
        <v>1800</v>
      </c>
    </row>
    <row r="10" spans="1:7" x14ac:dyDescent="0.25">
      <c r="A10" s="5" t="s">
        <v>26</v>
      </c>
      <c r="B10" s="5" t="s">
        <v>21</v>
      </c>
      <c r="C10" s="5" t="s">
        <v>17</v>
      </c>
      <c r="D10" s="5" t="s">
        <v>10</v>
      </c>
      <c r="E10" s="6">
        <v>3</v>
      </c>
      <c r="F10" s="6">
        <v>54000</v>
      </c>
      <c r="G10" s="6">
        <v>11000</v>
      </c>
    </row>
    <row r="11" spans="1:7" x14ac:dyDescent="0.25">
      <c r="A11" s="5" t="s">
        <v>27</v>
      </c>
      <c r="B11" s="5" t="s">
        <v>12</v>
      </c>
      <c r="C11" s="5" t="s">
        <v>9</v>
      </c>
      <c r="D11" s="5" t="s">
        <v>18</v>
      </c>
      <c r="E11" s="6">
        <v>4</v>
      </c>
      <c r="F11" s="6">
        <v>20000</v>
      </c>
      <c r="G11" s="6">
        <v>4000</v>
      </c>
    </row>
    <row r="12" spans="1:7" x14ac:dyDescent="0.25">
      <c r="A12" s="5" t="s">
        <v>28</v>
      </c>
      <c r="B12" s="5" t="s">
        <v>23</v>
      </c>
      <c r="C12" s="5" t="s">
        <v>13</v>
      </c>
      <c r="D12" s="5" t="s">
        <v>10</v>
      </c>
      <c r="E12" s="6">
        <v>2</v>
      </c>
      <c r="F12" s="6">
        <v>110000</v>
      </c>
      <c r="G12" s="6">
        <v>22000</v>
      </c>
    </row>
    <row r="13" spans="1:7" x14ac:dyDescent="0.25">
      <c r="A13" s="5" t="s">
        <v>29</v>
      </c>
      <c r="B13" s="5" t="s">
        <v>8</v>
      </c>
      <c r="C13" s="5" t="s">
        <v>17</v>
      </c>
      <c r="D13" s="5" t="s">
        <v>14</v>
      </c>
      <c r="E13" s="6">
        <v>6</v>
      </c>
      <c r="F13" s="6">
        <v>7200</v>
      </c>
      <c r="G13" s="6">
        <v>1400</v>
      </c>
    </row>
    <row r="14" spans="1:7" x14ac:dyDescent="0.25">
      <c r="A14" s="5" t="s">
        <v>30</v>
      </c>
      <c r="B14" s="5" t="s">
        <v>16</v>
      </c>
      <c r="C14" s="5" t="s">
        <v>13</v>
      </c>
      <c r="D14" s="5" t="s">
        <v>10</v>
      </c>
      <c r="E14" s="6">
        <v>2</v>
      </c>
      <c r="F14" s="6">
        <v>36000</v>
      </c>
      <c r="G14" s="6">
        <v>7000</v>
      </c>
    </row>
    <row r="15" spans="1:7" x14ac:dyDescent="0.25">
      <c r="A15" s="5" t="s">
        <v>31</v>
      </c>
      <c r="B15" s="5" t="s">
        <v>21</v>
      </c>
      <c r="C15" s="5" t="s">
        <v>9</v>
      </c>
      <c r="D15" s="5" t="s">
        <v>18</v>
      </c>
      <c r="E15" s="6">
        <v>3</v>
      </c>
      <c r="F15" s="6">
        <v>15000</v>
      </c>
      <c r="G15" s="6">
        <v>3000</v>
      </c>
    </row>
    <row r="16" spans="1:7" x14ac:dyDescent="0.25">
      <c r="A16" s="5" t="s">
        <v>32</v>
      </c>
      <c r="B16" s="5" t="s">
        <v>12</v>
      </c>
      <c r="C16" s="5" t="s">
        <v>17</v>
      </c>
      <c r="D16" s="5" t="s">
        <v>10</v>
      </c>
      <c r="E16" s="6">
        <v>1</v>
      </c>
      <c r="F16" s="6">
        <v>55000</v>
      </c>
      <c r="G16" s="6">
        <v>10500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68769-6B67-46CE-8BC9-97A56BF85F93}">
  <dimension ref="A1:D16"/>
  <sheetViews>
    <sheetView workbookViewId="0">
      <selection activeCell="A18" sqref="A15:A18"/>
    </sheetView>
  </sheetViews>
  <sheetFormatPr defaultRowHeight="15" x14ac:dyDescent="0.25"/>
  <cols>
    <col min="1" max="1" width="13.140625" bestFit="1" customWidth="1"/>
    <col min="2" max="2" width="16.28515625" bestFit="1" customWidth="1"/>
    <col min="3" max="3" width="10.5703125" bestFit="1" customWidth="1"/>
    <col min="4" max="4" width="9.28515625" bestFit="1" customWidth="1"/>
    <col min="5" max="5" width="11.28515625" bestFit="1" customWidth="1"/>
  </cols>
  <sheetData>
    <row r="1" spans="1:4" x14ac:dyDescent="0.25">
      <c r="A1" s="7" t="s">
        <v>33</v>
      </c>
    </row>
    <row r="2" spans="1:4" x14ac:dyDescent="0.25">
      <c r="A2" t="s">
        <v>34</v>
      </c>
      <c r="D2">
        <f>SUMIFS(Sales,City,"Delhi")</f>
        <v>181800</v>
      </c>
    </row>
    <row r="3" spans="1:4" x14ac:dyDescent="0.25">
      <c r="A3" t="s">
        <v>35</v>
      </c>
      <c r="D3">
        <f>SUMIFS(Sales,City,"Delhi",Category,"Electronics")</f>
        <v>146000</v>
      </c>
    </row>
    <row r="4" spans="1:4" x14ac:dyDescent="0.25">
      <c r="A4" s="8" t="s">
        <v>36</v>
      </c>
      <c r="D4">
        <f>SUMIFS(Sales,City,"Lucknow",Category,"Electronics")</f>
        <v>146000</v>
      </c>
    </row>
    <row r="5" spans="1:4" x14ac:dyDescent="0.25">
      <c r="A5" s="7" t="s">
        <v>37</v>
      </c>
      <c r="D5">
        <f>SUMIFS(Sales,City,"Mumbai",Category,"Electronics")</f>
        <v>164000</v>
      </c>
    </row>
    <row r="6" spans="1:4" x14ac:dyDescent="0.25">
      <c r="A6" s="7" t="s">
        <v>38</v>
      </c>
      <c r="D6">
        <f>SUMIFS(Sales,City,"Delhi",Category,"Furniture")</f>
        <v>25000</v>
      </c>
    </row>
    <row r="8" spans="1:4" x14ac:dyDescent="0.25">
      <c r="A8" s="7" t="s">
        <v>39</v>
      </c>
    </row>
    <row r="9" spans="1:4" x14ac:dyDescent="0.25">
      <c r="A9" t="s">
        <v>40</v>
      </c>
      <c r="D9">
        <f>COUNTIFS(City,"Lucknow",Category,"Clothing")</f>
        <v>1</v>
      </c>
    </row>
    <row r="10" spans="1:4" x14ac:dyDescent="0.25">
      <c r="A10" t="s">
        <v>41</v>
      </c>
      <c r="D10">
        <f>COUNTIFS(City,"Mumbai",Category,"Electronics")</f>
        <v>3</v>
      </c>
    </row>
    <row r="12" spans="1:4" x14ac:dyDescent="0.25">
      <c r="A12" s="7" t="s">
        <v>42</v>
      </c>
    </row>
    <row r="13" spans="1:4" x14ac:dyDescent="0.25">
      <c r="A13" t="s">
        <v>43</v>
      </c>
      <c r="D13" s="9">
        <f>AVERAGEIFS(Sales,City,"Mumbai",Category,"electronics")</f>
        <v>54666.666666666664</v>
      </c>
    </row>
    <row r="14" spans="1:4" x14ac:dyDescent="0.25">
      <c r="A14" t="s">
        <v>44</v>
      </c>
      <c r="D14">
        <f>AVERAGEIFS(Sales,City,"Lucknow",Category,"Furniture")</f>
        <v>17500</v>
      </c>
    </row>
    <row r="15" spans="1:4" ht="17.25" customHeight="1" x14ac:dyDescent="0.25"/>
    <row r="16" spans="1:4" x14ac:dyDescent="0.25">
      <c r="A1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45535-D3F2-4A0E-A5B0-FB80E787BFB6}">
  <dimension ref="A1:A56"/>
  <sheetViews>
    <sheetView tabSelected="1" workbookViewId="0">
      <selection activeCell="N18" sqref="N18"/>
    </sheetView>
  </sheetViews>
  <sheetFormatPr defaultRowHeight="15" x14ac:dyDescent="0.25"/>
  <sheetData>
    <row r="1" spans="1:1" x14ac:dyDescent="0.25">
      <c r="A1" t="s">
        <v>45</v>
      </c>
    </row>
    <row r="2" spans="1:1" x14ac:dyDescent="0.25">
      <c r="A2" t="s">
        <v>46</v>
      </c>
    </row>
    <row r="4" spans="1:1" x14ac:dyDescent="0.25">
      <c r="A4" t="s">
        <v>47</v>
      </c>
    </row>
    <row r="5" spans="1:1" x14ac:dyDescent="0.25">
      <c r="A5" t="s">
        <v>48</v>
      </c>
    </row>
    <row r="7" spans="1:1" x14ac:dyDescent="0.25">
      <c r="A7" t="s">
        <v>49</v>
      </c>
    </row>
    <row r="8" spans="1:1" x14ac:dyDescent="0.25">
      <c r="A8">
        <f ca="1">SUMIFS(F:F,C:C,"Delhi",D:D,"Electronics")</f>
        <v>0</v>
      </c>
    </row>
    <row r="10" spans="1:1" x14ac:dyDescent="0.25">
      <c r="A10" t="s">
        <v>50</v>
      </c>
    </row>
    <row r="11" spans="1:1" x14ac:dyDescent="0.25">
      <c r="A11" t="s">
        <v>51</v>
      </c>
    </row>
    <row r="13" spans="1:1" x14ac:dyDescent="0.25">
      <c r="A13" t="s">
        <v>49</v>
      </c>
    </row>
    <row r="14" spans="1:1" x14ac:dyDescent="0.25">
      <c r="A14">
        <f>COUNTIFS(C:C,"Delhi",D:D,"Electronics")</f>
        <v>0</v>
      </c>
    </row>
    <row r="16" spans="1:1" x14ac:dyDescent="0.25">
      <c r="A16" t="s">
        <v>52</v>
      </c>
    </row>
    <row r="17" spans="1:1" x14ac:dyDescent="0.25">
      <c r="A17" t="s">
        <v>53</v>
      </c>
    </row>
    <row r="19" spans="1:1" x14ac:dyDescent="0.25">
      <c r="A19" t="s">
        <v>49</v>
      </c>
    </row>
    <row r="20" spans="1:1" x14ac:dyDescent="0.25">
      <c r="A20" t="e">
        <f ca="1">AVERAGEIFS(F:F,C:C,"Delhi",D:D,"Electronics")</f>
        <v>#DIV/0!</v>
      </c>
    </row>
    <row r="22" spans="1:1" x14ac:dyDescent="0.25">
      <c r="A22" t="s">
        <v>54</v>
      </c>
    </row>
    <row r="24" spans="1:1" x14ac:dyDescent="0.25">
      <c r="A24" t="s">
        <v>55</v>
      </c>
    </row>
    <row r="25" spans="1:1" x14ac:dyDescent="0.25">
      <c r="A25" t="s">
        <v>56</v>
      </c>
    </row>
    <row r="26" spans="1:1" x14ac:dyDescent="0.25">
      <c r="A26" t="s">
        <v>57</v>
      </c>
    </row>
    <row r="28" spans="1:1" x14ac:dyDescent="0.25">
      <c r="A28" t="s">
        <v>58</v>
      </c>
    </row>
    <row r="30" spans="1:1" x14ac:dyDescent="0.25">
      <c r="A30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61</v>
      </c>
    </row>
    <row r="36" spans="1:1" x14ac:dyDescent="0.25">
      <c r="A36" t="s">
        <v>63</v>
      </c>
    </row>
    <row r="37" spans="1:1" x14ac:dyDescent="0.25">
      <c r="A37" t="s">
        <v>61</v>
      </c>
    </row>
    <row r="38" spans="1:1" x14ac:dyDescent="0.25">
      <c r="A38" t="s">
        <v>64</v>
      </c>
    </row>
    <row r="39" spans="1:1" x14ac:dyDescent="0.25">
      <c r="A39" t="s">
        <v>61</v>
      </c>
    </row>
    <row r="40" spans="1:1" x14ac:dyDescent="0.25">
      <c r="A40" t="s">
        <v>65</v>
      </c>
    </row>
    <row r="42" spans="1:1" x14ac:dyDescent="0.25">
      <c r="A42" t="s">
        <v>49</v>
      </c>
    </row>
    <row r="44" spans="1:1" x14ac:dyDescent="0.25">
      <c r="A44" s="1" t="s">
        <v>66</v>
      </c>
    </row>
    <row r="46" spans="1:1" x14ac:dyDescent="0.25">
      <c r="A46" t="s">
        <v>67</v>
      </c>
    </row>
    <row r="47" spans="1:1" x14ac:dyDescent="0.25">
      <c r="A47" t="s">
        <v>68</v>
      </c>
    </row>
    <row r="48" spans="1:1" x14ac:dyDescent="0.25">
      <c r="A48" t="s">
        <v>69</v>
      </c>
    </row>
    <row r="50" spans="1:1" x14ac:dyDescent="0.25">
      <c r="A50" t="s">
        <v>70</v>
      </c>
    </row>
    <row r="52" spans="1:1" x14ac:dyDescent="0.25">
      <c r="A52" t="s">
        <v>71</v>
      </c>
    </row>
    <row r="53" spans="1:1" x14ac:dyDescent="0.25">
      <c r="A53" t="s">
        <v>72</v>
      </c>
    </row>
    <row r="54" spans="1:1" x14ac:dyDescent="0.25">
      <c r="A54" t="s">
        <v>73</v>
      </c>
    </row>
    <row r="56" spans="1:1" x14ac:dyDescent="0.25">
      <c r="A56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7</vt:i4>
      </vt:variant>
    </vt:vector>
  </HeadingPairs>
  <TitlesOfParts>
    <vt:vector size="10" baseType="lpstr">
      <vt:lpstr>Sales_Data</vt:lpstr>
      <vt:lpstr>Analysis</vt:lpstr>
      <vt:lpstr>Notes</vt:lpstr>
      <vt:lpstr>Category</vt:lpstr>
      <vt:lpstr>City</vt:lpstr>
      <vt:lpstr>Employee</vt:lpstr>
      <vt:lpstr>Order_ID</vt:lpstr>
      <vt:lpstr>Profit</vt:lpstr>
      <vt:lpstr>Quantity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Mohammad zaid</dc:creator>
  <cp:lastModifiedBy>syed Mohammad zaid</cp:lastModifiedBy>
  <dcterms:created xsi:type="dcterms:W3CDTF">2015-06-05T18:17:20Z</dcterms:created>
  <dcterms:modified xsi:type="dcterms:W3CDTF">2026-09-25T10:49:04Z</dcterms:modified>
</cp:coreProperties>
</file>