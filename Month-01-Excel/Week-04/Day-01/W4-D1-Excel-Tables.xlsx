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4\Day-01\"/>
    </mc:Choice>
  </mc:AlternateContent>
  <xr:revisionPtr revIDLastSave="0" documentId="13_ncr:1_{B657D8C1-C038-4A59-B46C-E9D4EDC1629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_Data" sheetId="1" r:id="rId1"/>
    <sheet name="Analysis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3" l="1" a="1"/>
  <c r="A32" i="3" a="1"/>
  <c r="A33" i="3" a="1"/>
  <c r="A34" i="3" a="1"/>
  <c r="A35" i="3" a="1"/>
  <c r="A36" i="3" a="1"/>
  <c r="F1" i="2"/>
  <c r="H2" i="1"/>
  <c r="H3" i="1"/>
  <c r="H4" i="1"/>
  <c r="H5" i="1"/>
  <c r="H6" i="1"/>
  <c r="H7" i="1"/>
  <c r="H8" i="1"/>
  <c r="H9" i="1"/>
  <c r="H10" i="1"/>
  <c r="H11" i="1"/>
  <c r="H12" i="1"/>
  <c r="C7" i="2"/>
  <c r="C5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<sst xmlns="http://schemas.openxmlformats.org/spreadsheetml/2006/main" count="85" uniqueCount="64">
  <si>
    <t>Order_ID</t>
  </si>
  <si>
    <t>Date</t>
  </si>
  <si>
    <t>Employee</t>
  </si>
  <si>
    <t>City</t>
  </si>
  <si>
    <t>Product</t>
  </si>
  <si>
    <t>Quantity</t>
  </si>
  <si>
    <t>Sales</t>
  </si>
  <si>
    <t>O001</t>
  </si>
  <si>
    <t>Rahul</t>
  </si>
  <si>
    <t>Lucknow</t>
  </si>
  <si>
    <t>Laptop</t>
  </si>
  <si>
    <t>O002</t>
  </si>
  <si>
    <t>Priya</t>
  </si>
  <si>
    <t>Delhi</t>
  </si>
  <si>
    <t>Shirt</t>
  </si>
  <si>
    <t>O003</t>
  </si>
  <si>
    <t>Arman</t>
  </si>
  <si>
    <t>Mumbai</t>
  </si>
  <si>
    <t>Chair</t>
  </si>
  <si>
    <t>O004</t>
  </si>
  <si>
    <t>Monitor</t>
  </si>
  <si>
    <t>O005</t>
  </si>
  <si>
    <t>Hamza</t>
  </si>
  <si>
    <t>O006</t>
  </si>
  <si>
    <t>Sara</t>
  </si>
  <si>
    <t>O007</t>
  </si>
  <si>
    <t>O008</t>
  </si>
  <si>
    <t>O009</t>
  </si>
  <si>
    <t>O010</t>
  </si>
  <si>
    <t>Q1 Total Sales calculate karo using the Table column.</t>
  </si>
  <si>
    <t>Q2 Total sum of Quantity</t>
  </si>
  <si>
    <t>Q3 Average Sale</t>
  </si>
  <si>
    <t>Q4 Total Orders</t>
  </si>
  <si>
    <t>O011</t>
  </si>
  <si>
    <t xml:space="preserve">Delhi </t>
  </si>
  <si>
    <t>Sales_Level</t>
  </si>
  <si>
    <t>WEEK 04 — DAY 01</t>
  </si>
  <si>
    <t>EXCEL TABLES &amp; STRUCTURED REFERENCES</t>
  </si>
  <si>
    <t>Excel Table:</t>
  </si>
  <si>
    <t>A structured data range that automatically expands</t>
  </si>
  <si>
    <t>when new records are added.</t>
  </si>
  <si>
    <t>Shortcut:</t>
  </si>
  <si>
    <t>Ctrl + T</t>
  </si>
  <si>
    <t>STRUCTURED REFERENCES:</t>
  </si>
  <si>
    <t>SalesData[Sales]</t>
  </si>
  <si>
    <t>→ Refers to the complete Sales column.</t>
  </si>
  <si>
    <t>[@Sales]</t>
  </si>
  <si>
    <t>→ Refers to the Sales value in the current row.</t>
  </si>
  <si>
    <t>Example:</t>
  </si>
  <si>
    <t>=SUM(SalesData[Sales])</t>
  </si>
  <si>
    <t>CALCULATED COLUMN:</t>
  </si>
  <si>
    <t>A formula entered in one Table row can automatically</t>
  </si>
  <si>
    <t>fill the entire column.</t>
  </si>
  <si>
    <t>=IF([@Sales]&gt;=50000,"High",</t>
  </si>
  <si>
    <t>IF([@Sales]&gt;=20000,"Medium","Low"))</t>
  </si>
  <si>
    <t>KEY ADVANTAGES:</t>
  </si>
  <si>
    <t>ANALYST USE:</t>
  </si>
  <si>
    <t>Excel Tables are useful when datasets receive</t>
  </si>
  <si>
    <t>new records regularly and formulas/analysis</t>
  </si>
  <si>
    <t>need to expand automatically.</t>
  </si>
  <si>
    <t>KEY LEARNING:</t>
  </si>
  <si>
    <t>Normal Range → Excel Table → Structured Data</t>
  </si>
  <si>
    <t>→ Dynamic Analysis</t>
  </si>
  <si>
    <t>Status: COMPLETED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</si>
</sst>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F2611-CB21-4254-A0AA-3C6D0178A6C1}" name="SaleData" displayName="SaleData" ref="A1:H12" totalsRowShown="0" headerRowDxfId="1" dataDxfId="2">
  <autoFilter ref="A1:H12" xr:uid="{9AFF2611-CB21-4254-A0AA-3C6D0178A6C1}"/>
  <tableColumns count="8">
    <tableColumn id="1" xr3:uid="{FE2FB395-4DFA-4344-AD5C-15E330B58F49}" name="Order_ID" dataDxfId="9"/>
    <tableColumn id="2" xr3:uid="{914784C2-E08A-4552-A51E-E934E7FDA556}" name="Date" dataDxfId="8"/>
    <tableColumn id="3" xr3:uid="{9665F34D-A57D-4CAD-849A-AE8BA48737D3}" name="Employee" dataDxfId="7"/>
    <tableColumn id="4" xr3:uid="{E0953F8D-DCB8-46D6-A454-CBF11B45B273}" name="City" dataDxfId="6"/>
    <tableColumn id="5" xr3:uid="{6662D340-A83B-4CD9-A440-FB283FD9425B}" name="Product" dataDxfId="5"/>
    <tableColumn id="6" xr3:uid="{9828B88B-598F-4574-8365-6E579F9A07FF}" name="Quantity" dataDxfId="4"/>
    <tableColumn id="7" xr3:uid="{8B67ACD0-0130-4921-9A8F-A9069E3C0A5F}" name="Sales" dataDxfId="3"/>
    <tableColumn id="8" xr3:uid="{F37ABC46-B627-4F24-B41E-71A2AF7750DC}" name="Sales_Level" dataDxfId="0">
      <calculatedColumnFormula>IF(SaleData[[#This Row],[Sales]]&gt;50000,"High",IF(SaleData[[#This Row],[Sales]]&gt;=20000,"Medium","Low"))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opLeftCell="A2" zoomScale="120" zoomScaleNormal="120" workbookViewId="0">
      <selection activeCell="G18" sqref="G17:G18"/>
    </sheetView>
  </sheetViews>
  <sheetFormatPr defaultRowHeight="15" x14ac:dyDescent="0.25"/>
  <cols>
    <col min="1" max="1" width="10.7109375" style="3" customWidth="1"/>
    <col min="2" max="2" width="10.28515625" style="3" bestFit="1" customWidth="1"/>
    <col min="3" max="3" width="11.5703125" style="3" customWidth="1"/>
    <col min="4" max="4" width="8.7109375" style="3" bestFit="1" customWidth="1"/>
    <col min="5" max="5" width="9.7109375" style="3" customWidth="1"/>
    <col min="6" max="6" width="10.42578125" style="3" customWidth="1"/>
    <col min="7" max="7" width="9.140625" style="3"/>
    <col min="8" max="8" width="15.85546875" style="3" bestFit="1" customWidth="1"/>
    <col min="9" max="16384" width="9.140625" style="3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35</v>
      </c>
    </row>
    <row r="2" spans="1:8" x14ac:dyDescent="0.25">
      <c r="A2" s="4" t="s">
        <v>7</v>
      </c>
      <c r="B2" s="5">
        <v>46031</v>
      </c>
      <c r="C2" s="4" t="s">
        <v>8</v>
      </c>
      <c r="D2" s="4" t="s">
        <v>9</v>
      </c>
      <c r="E2" s="4" t="s">
        <v>10</v>
      </c>
      <c r="F2" s="6">
        <v>2</v>
      </c>
      <c r="G2" s="6">
        <v>110000</v>
      </c>
      <c r="H2" s="4" t="str">
        <f>IF(SaleData[[#This Row],[Sales]]&gt;50000,"High",IF(SaleData[[#This Row],[Sales]]&gt;=20000,"Medium","Low"))</f>
        <v>High</v>
      </c>
    </row>
    <row r="3" spans="1:8" x14ac:dyDescent="0.25">
      <c r="A3" s="4" t="s">
        <v>11</v>
      </c>
      <c r="B3" s="5">
        <v>46062</v>
      </c>
      <c r="C3" s="4" t="s">
        <v>12</v>
      </c>
      <c r="D3" s="4" t="s">
        <v>13</v>
      </c>
      <c r="E3" s="4" t="s">
        <v>14</v>
      </c>
      <c r="F3" s="6">
        <v>5</v>
      </c>
      <c r="G3" s="6">
        <v>6000</v>
      </c>
      <c r="H3" s="4" t="str">
        <f>IF(SaleData[[#This Row],[Sales]]&gt;50000,"High",IF(SaleData[[#This Row],[Sales]]&gt;=20000,"Medium","Low"))</f>
        <v>Low</v>
      </c>
    </row>
    <row r="4" spans="1:8" x14ac:dyDescent="0.25">
      <c r="A4" s="4" t="s">
        <v>15</v>
      </c>
      <c r="B4" s="5">
        <v>46090</v>
      </c>
      <c r="C4" s="4" t="s">
        <v>16</v>
      </c>
      <c r="D4" s="4" t="s">
        <v>17</v>
      </c>
      <c r="E4" s="4" t="s">
        <v>18</v>
      </c>
      <c r="F4" s="6">
        <v>3</v>
      </c>
      <c r="G4" s="6">
        <v>15000</v>
      </c>
      <c r="H4" s="4" t="str">
        <f>IF(SaleData[[#This Row],[Sales]]&gt;50000,"High",IF(SaleData[[#This Row],[Sales]]&gt;=20000,"Medium","Low"))</f>
        <v>Low</v>
      </c>
    </row>
    <row r="5" spans="1:8" x14ac:dyDescent="0.25">
      <c r="A5" s="4" t="s">
        <v>19</v>
      </c>
      <c r="B5" s="5">
        <v>46121</v>
      </c>
      <c r="C5" s="4" t="s">
        <v>8</v>
      </c>
      <c r="D5" s="4" t="s">
        <v>9</v>
      </c>
      <c r="E5" s="4" t="s">
        <v>20</v>
      </c>
      <c r="F5" s="6">
        <v>2</v>
      </c>
      <c r="G5" s="6">
        <v>36000</v>
      </c>
      <c r="H5" s="4" t="str">
        <f>IF(SaleData[[#This Row],[Sales]]&gt;50000,"High",IF(SaleData[[#This Row],[Sales]]&gt;=20000,"Medium","Low"))</f>
        <v>Medium</v>
      </c>
    </row>
    <row r="6" spans="1:8" x14ac:dyDescent="0.25">
      <c r="A6" s="4" t="s">
        <v>21</v>
      </c>
      <c r="B6" s="5">
        <v>46151</v>
      </c>
      <c r="C6" s="4" t="s">
        <v>22</v>
      </c>
      <c r="D6" s="4" t="s">
        <v>13</v>
      </c>
      <c r="E6" s="4" t="s">
        <v>14</v>
      </c>
      <c r="F6" s="6">
        <v>4</v>
      </c>
      <c r="G6" s="6">
        <v>4800</v>
      </c>
      <c r="H6" s="4" t="str">
        <f>IF(SaleData[[#This Row],[Sales]]&gt;50000,"High",IF(SaleData[[#This Row],[Sales]]&gt;=20000,"Medium","Low"))</f>
        <v>Low</v>
      </c>
    </row>
    <row r="7" spans="1:8" x14ac:dyDescent="0.25">
      <c r="A7" s="4" t="s">
        <v>23</v>
      </c>
      <c r="B7" s="5">
        <v>46182</v>
      </c>
      <c r="C7" s="4" t="s">
        <v>24</v>
      </c>
      <c r="D7" s="4" t="s">
        <v>17</v>
      </c>
      <c r="E7" s="4" t="s">
        <v>10</v>
      </c>
      <c r="F7" s="6">
        <v>1</v>
      </c>
      <c r="G7" s="6">
        <v>55000</v>
      </c>
      <c r="H7" s="4" t="str">
        <f>IF(SaleData[[#This Row],[Sales]]&gt;50000,"High",IF(SaleData[[#This Row],[Sales]]&gt;=20000,"Medium","Low"))</f>
        <v>High</v>
      </c>
    </row>
    <row r="8" spans="1:8" x14ac:dyDescent="0.25">
      <c r="A8" s="4" t="s">
        <v>25</v>
      </c>
      <c r="B8" s="5">
        <v>46212</v>
      </c>
      <c r="C8" s="4" t="s">
        <v>8</v>
      </c>
      <c r="D8" s="4" t="s">
        <v>13</v>
      </c>
      <c r="E8" s="4" t="s">
        <v>18</v>
      </c>
      <c r="F8" s="6">
        <v>5</v>
      </c>
      <c r="G8" s="6">
        <v>25000</v>
      </c>
      <c r="H8" s="4" t="str">
        <f>IF(SaleData[[#This Row],[Sales]]&gt;50000,"High",IF(SaleData[[#This Row],[Sales]]&gt;=20000,"Medium","Low"))</f>
        <v>Medium</v>
      </c>
    </row>
    <row r="9" spans="1:8" x14ac:dyDescent="0.25">
      <c r="A9" s="4" t="s">
        <v>26</v>
      </c>
      <c r="B9" s="5">
        <v>46243</v>
      </c>
      <c r="C9" s="4" t="s">
        <v>16</v>
      </c>
      <c r="D9" s="4" t="s">
        <v>9</v>
      </c>
      <c r="E9" s="4" t="s">
        <v>14</v>
      </c>
      <c r="F9" s="6">
        <v>8</v>
      </c>
      <c r="G9" s="6">
        <v>9600</v>
      </c>
      <c r="H9" s="4" t="str">
        <f>IF(SaleData[[#This Row],[Sales]]&gt;50000,"High",IF(SaleData[[#This Row],[Sales]]&gt;=20000,"Medium","Low"))</f>
        <v>Low</v>
      </c>
    </row>
    <row r="10" spans="1:8" x14ac:dyDescent="0.25">
      <c r="A10" s="4" t="s">
        <v>27</v>
      </c>
      <c r="B10" s="5">
        <v>46274</v>
      </c>
      <c r="C10" s="4" t="s">
        <v>22</v>
      </c>
      <c r="D10" s="4" t="s">
        <v>17</v>
      </c>
      <c r="E10" s="4" t="s">
        <v>20</v>
      </c>
      <c r="F10" s="6">
        <v>3</v>
      </c>
      <c r="G10" s="6">
        <v>54000</v>
      </c>
      <c r="H10" s="4" t="str">
        <f>IF(SaleData[[#This Row],[Sales]]&gt;50000,"High",IF(SaleData[[#This Row],[Sales]]&gt;=20000,"Medium","Low"))</f>
        <v>High</v>
      </c>
    </row>
    <row r="11" spans="1:8" x14ac:dyDescent="0.25">
      <c r="A11" s="4" t="s">
        <v>28</v>
      </c>
      <c r="B11" s="5">
        <v>46304</v>
      </c>
      <c r="C11" s="4" t="s">
        <v>12</v>
      </c>
      <c r="D11" s="4" t="s">
        <v>9</v>
      </c>
      <c r="E11" s="4" t="s">
        <v>18</v>
      </c>
      <c r="F11" s="6">
        <v>4</v>
      </c>
      <c r="G11" s="6">
        <v>20000</v>
      </c>
      <c r="H11" s="4" t="str">
        <f>IF(SaleData[[#This Row],[Sales]]&gt;50000,"High",IF(SaleData[[#This Row],[Sales]]&gt;=20000,"Medium","Low"))</f>
        <v>Medium</v>
      </c>
    </row>
    <row r="12" spans="1:8" x14ac:dyDescent="0.25">
      <c r="A12" s="4" t="s">
        <v>33</v>
      </c>
      <c r="B12" s="5">
        <v>46335</v>
      </c>
      <c r="C12" s="4" t="s">
        <v>24</v>
      </c>
      <c r="D12" s="4" t="s">
        <v>34</v>
      </c>
      <c r="E12" s="4" t="s">
        <v>10</v>
      </c>
      <c r="F12" s="6">
        <v>2</v>
      </c>
      <c r="G12" s="6">
        <v>110000</v>
      </c>
      <c r="H12" s="4" t="str">
        <f>IF(SaleData[[#This Row],[Sales]]&gt;50000,"High",IF(SaleData[[#This Row],[Sales]]&gt;=20000,"Medium","Low"))</f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1A3C-7206-4416-926C-AA181D3D661A}">
  <dimension ref="A1:F7"/>
  <sheetViews>
    <sheetView workbookViewId="0">
      <selection activeCell="F5" sqref="F5"/>
    </sheetView>
  </sheetViews>
  <sheetFormatPr defaultRowHeight="15" x14ac:dyDescent="0.25"/>
  <sheetData>
    <row r="1" spans="1:6" x14ac:dyDescent="0.25">
      <c r="A1" s="8" t="s">
        <v>29</v>
      </c>
      <c r="B1" s="8"/>
      <c r="C1" s="8"/>
      <c r="D1" s="8"/>
      <c r="E1" s="8"/>
      <c r="F1" s="7">
        <f>SUM(SaleData[])</f>
        <v>953444</v>
      </c>
    </row>
    <row r="3" spans="1:6" x14ac:dyDescent="0.25">
      <c r="A3" s="8" t="s">
        <v>30</v>
      </c>
      <c r="B3" s="8"/>
      <c r="C3" s="8"/>
      <c r="D3" s="7">
        <f>SUM(SaleData[Quantity])</f>
        <v>39</v>
      </c>
    </row>
    <row r="5" spans="1:6" x14ac:dyDescent="0.25">
      <c r="A5" s="8" t="s">
        <v>31</v>
      </c>
      <c r="B5" s="8"/>
      <c r="C5" s="7">
        <f>AVERAGE(SaleData[Sales])</f>
        <v>40490.909090909088</v>
      </c>
    </row>
    <row r="7" spans="1:6" x14ac:dyDescent="0.25">
      <c r="A7" s="8" t="s">
        <v>32</v>
      </c>
      <c r="B7" s="8"/>
      <c r="C7" s="7">
        <f>COUNTA(SaleData[Order_ID])</f>
        <v>11</v>
      </c>
    </row>
  </sheetData>
  <mergeCells count="4">
    <mergeCell ref="A1:E1"/>
    <mergeCell ref="A3:C3"/>
    <mergeCell ref="A5:B5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DDD8-024B-4251-A720-D236715E0B76}">
  <dimension ref="A1:A48"/>
  <sheetViews>
    <sheetView tabSelected="1" workbookViewId="0">
      <selection activeCell="N7" sqref="N7"/>
    </sheetView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1" spans="1:1" x14ac:dyDescent="0.25">
      <c r="A11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6" spans="1:1" x14ac:dyDescent="0.25">
      <c r="A16" t="s">
        <v>46</v>
      </c>
    </row>
    <row r="17" spans="1:1" x14ac:dyDescent="0.25">
      <c r="A17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6" spans="1:1" x14ac:dyDescent="0.25">
      <c r="A26" t="s">
        <v>48</v>
      </c>
    </row>
    <row r="27" spans="1:1" x14ac:dyDescent="0.25">
      <c r="A27" t="s">
        <v>53</v>
      </c>
    </row>
    <row r="28" spans="1:1" x14ac:dyDescent="0.25">
      <c r="A28" t="s">
        <v>54</v>
      </c>
    </row>
    <row r="30" spans="1:1" x14ac:dyDescent="0.25">
      <c r="A30" t="s">
        <v>55</v>
      </c>
    </row>
    <row r="31" spans="1:1" x14ac:dyDescent="0.25">
      <c r="A31" t="e" cm="1">
        <f t="array" ref="A31">- Automatic expansion</f>
        <v>#NAME?</v>
      </c>
    </row>
    <row r="32" spans="1:1" x14ac:dyDescent="0.25">
      <c r="A32" t="e" cm="1">
        <f t="array" ref="A32">- Automatic formula filling</f>
        <v>#NAME?</v>
      </c>
    </row>
    <row r="33" spans="1:1" x14ac:dyDescent="0.25">
      <c r="A33" t="e" cm="1">
        <f t="array" ref="A33">- Easy filtering</f>
        <v>#NAME?</v>
      </c>
    </row>
    <row r="34" spans="1:1" x14ac:dyDescent="0.25">
      <c r="A34" t="e" cm="1">
        <f t="array" ref="A34">- Readable formulas</f>
        <v>#NAME?</v>
      </c>
    </row>
    <row r="35" spans="1:1" x14ac:dyDescent="0.25">
      <c r="A35" t="e" cm="1">
        <f t="array" ref="A35">- Dynamic data structure</f>
        <v>#NAME?</v>
      </c>
    </row>
    <row r="36" spans="1:1" x14ac:dyDescent="0.25">
      <c r="A36" t="e" cm="1">
        <f t="array" ref="A36">- Better for growing datasets</f>
        <v>#NAME?</v>
      </c>
    </row>
    <row r="38" spans="1:1" x14ac:dyDescent="0.25">
      <c r="A38" t="s">
        <v>56</v>
      </c>
    </row>
    <row r="39" spans="1:1" x14ac:dyDescent="0.25">
      <c r="A39" t="s">
        <v>57</v>
      </c>
    </row>
    <row r="40" spans="1:1" x14ac:dyDescent="0.25">
      <c r="A40" t="s">
        <v>58</v>
      </c>
    </row>
    <row r="41" spans="1:1" x14ac:dyDescent="0.25">
      <c r="A41" t="s">
        <v>59</v>
      </c>
    </row>
    <row r="43" spans="1:1" x14ac:dyDescent="0.25">
      <c r="A43" t="s">
        <v>60</v>
      </c>
    </row>
    <row r="45" spans="1:1" x14ac:dyDescent="0.25">
      <c r="A45" t="s">
        <v>61</v>
      </c>
    </row>
    <row r="46" spans="1:1" x14ac:dyDescent="0.25">
      <c r="A46" t="s">
        <v>62</v>
      </c>
    </row>
    <row r="48" spans="1:1" x14ac:dyDescent="0.25">
      <c r="A4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Analysis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2026-09-21T12:26:32Z</dcterms:modified>
</cp:coreProperties>
</file>