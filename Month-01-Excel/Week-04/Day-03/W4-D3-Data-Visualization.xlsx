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4\Day-03\"/>
    </mc:Choice>
  </mc:AlternateContent>
  <xr:revisionPtr revIDLastSave="0" documentId="13_ncr:1_{29E27771-C255-4E54-A60C-A2C4DDACD82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_Data" sheetId="1" r:id="rId1"/>
    <sheet name="Dashboard" sheetId="2" r:id="rId2"/>
    <sheet name="Notes" sheetId="3" r:id="rId3"/>
  </sheets>
  <calcPr calcId="191029"/>
  <pivotCaches>
    <pivotCache cacheId="9" r:id="rId4"/>
    <pivotCache cacheId="13" r:id="rId5"/>
    <pivotCache cacheId="17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 a="1"/>
  <c r="A6" i="3" a="1"/>
  <c r="A7" i="3" a="1"/>
  <c r="A8" i="3" a="1"/>
  <c r="A9" i="3" a="1"/>
  <c r="A10" i="3" a="1"/>
  <c r="A11" i="3" a="1"/>
  <c r="A12" i="3" a="1"/>
  <c r="A13" i="3" a="1"/>
  <c r="A14" i="3" a="1"/>
  <c r="A24" i="3" a="1"/>
  <c r="A25" i="3" a="1"/>
  <c r="A26" i="3" a="1"/>
  <c r="A27" i="3" a="1"/>
  <c r="A28" i="3" a="1"/>
  <c r="A29" i="3" a="1"/>
  <c r="C3" i="2"/>
  <c r="B3" i="2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<sst xmlns="http://schemas.openxmlformats.org/spreadsheetml/2006/main" count="110" uniqueCount="53">
  <si>
    <t>Month</t>
  </si>
  <si>
    <t>City</t>
  </si>
  <si>
    <t>Sales</t>
  </si>
  <si>
    <t>Orders</t>
  </si>
  <si>
    <t>Profit</t>
  </si>
  <si>
    <t>Jan</t>
  </si>
  <si>
    <t>Lucknow</t>
  </si>
  <si>
    <t>Delhi</t>
  </si>
  <si>
    <t>Mumbai</t>
  </si>
  <si>
    <t>Feb</t>
  </si>
  <si>
    <t>Mar</t>
  </si>
  <si>
    <t>Apr</t>
  </si>
  <si>
    <t>Row Labels</t>
  </si>
  <si>
    <t>Grand Total</t>
  </si>
  <si>
    <t>Sum of Sales</t>
  </si>
  <si>
    <t>Column Labels</t>
  </si>
  <si>
    <t>(blank)</t>
  </si>
  <si>
    <t>Sum of Sales2</t>
  </si>
  <si>
    <t>Sum of Profit</t>
  </si>
  <si>
    <t>Create a small visual report that helps me understand Sales Performance at a glance.</t>
  </si>
  <si>
    <t># Week 04 - Day 03: Excel Charts &amp; Data Visualization</t>
  </si>
  <si>
    <t>## 📌 Topics Covered</t>
  </si>
  <si>
    <t>## 🛠️ Practical Work</t>
  </si>
  <si>
    <t>Created summary tables and visualized sales data</t>
  </si>
  <si>
    <t>to understand city-wise performance, monthly trends,</t>
  </si>
  <si>
    <t>sales, orders and profit.</t>
  </si>
  <si>
    <t>## 📊 Visualizations Created</t>
  </si>
  <si>
    <t>## 📈 Summary Analysis</t>
  </si>
  <si>
    <t>PivotTables were used to create aggregated</t>
  </si>
  <si>
    <t>city-wise and month-wise summaries before</t>
  </si>
  <si>
    <t>creating visualizations.</t>
  </si>
  <si>
    <t>SUMIF/SUMIFS can also be used to create</t>
  </si>
  <si>
    <t>such summary tables.</t>
  </si>
  <si>
    <t>## 💡 Key Learning</t>
  </si>
  <si>
    <t>The appropriate chart should be selected according</t>
  </si>
  <si>
    <t>to the business question.</t>
  </si>
  <si>
    <t>Comparison → Column / Bar</t>
  </si>
  <si>
    <t>Trend → Line</t>
  </si>
  <si>
    <t>Part of Whole → Pie</t>
  </si>
  <si>
    <t>## 🔄 Analyst Workflow</t>
  </si>
  <si>
    <t>Raw Data</t>
  </si>
  <si>
    <t>→ Summary</t>
  </si>
  <si>
    <t>→ Visualization</t>
  </si>
  <si>
    <t>→ Business Insight</t>
  </si>
  <si>
    <t>## 🎯 Main Learning</t>
  </si>
  <si>
    <t>Data visualization is not just about making charts.</t>
  </si>
  <si>
    <t>The goal is to present relevant information clearly</t>
  </si>
  <si>
    <t>and make patterns, comparisons and trends easier</t>
  </si>
  <si>
    <t>to understand.</t>
  </si>
  <si>
    <t>## 📁 File</t>
  </si>
  <si>
    <t>W4-D3-Data-Visualization.xlsx</t>
  </si>
  <si>
    <t>## ✅ 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</si>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</sst>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Sales_Data!$G$2:$G$5</c:f>
              <c:strCache>
                <c:ptCount val="3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</c:strCache>
            </c:strRef>
          </c:cat>
          <c:val>
            <c:numRef>
              <c:f>Sales_Data!$H$2:$H$5</c:f>
              <c:numCache>
                <c:formatCode>General</c:formatCode>
                <c:ptCount val="3"/>
                <c:pt idx="0">
                  <c:v>287000</c:v>
                </c:pt>
                <c:pt idx="1">
                  <c:v>360000</c:v>
                </c:pt>
                <c:pt idx="2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8-4162-BF0C-C680AD01F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117712"/>
        <c:axId val="1527986064"/>
      </c:barChart>
      <c:catAx>
        <c:axId val="12981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86064"/>
        <c:crosses val="autoZero"/>
        <c:auto val="1"/>
        <c:lblAlgn val="ctr"/>
        <c:lblOffset val="100"/>
        <c:noMultiLvlLbl val="0"/>
      </c:catAx>
      <c:valAx>
        <c:axId val="15279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Sales_Data!$G$2:$G$5</c:f>
              <c:strCache>
                <c:ptCount val="3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</c:strCache>
            </c:strRef>
          </c:cat>
          <c:val>
            <c:numRef>
              <c:f>Sales_Data!$H$2:$H$5</c:f>
              <c:numCache>
                <c:formatCode>General</c:formatCode>
                <c:ptCount val="3"/>
                <c:pt idx="0">
                  <c:v>287000</c:v>
                </c:pt>
                <c:pt idx="1">
                  <c:v>360000</c:v>
                </c:pt>
                <c:pt idx="2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7-47C7-8E4F-861ACB582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3343360"/>
        <c:axId val="1528003824"/>
        <c:axId val="0"/>
      </c:bar3DChart>
      <c:catAx>
        <c:axId val="130334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03824"/>
        <c:crosses val="autoZero"/>
        <c:auto val="1"/>
        <c:lblAlgn val="ctr"/>
        <c:lblOffset val="100"/>
        <c:noMultiLvlLbl val="0"/>
      </c:catAx>
      <c:valAx>
        <c:axId val="152800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Sales_Data!$B$17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Sales_Data!$A$18:$A$22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Sales_Data!$B$18:$B$22</c:f>
              <c:numCache>
                <c:formatCode>General</c:formatCode>
                <c:ptCount val="4"/>
                <c:pt idx="0">
                  <c:v>221000</c:v>
                </c:pt>
                <c:pt idx="1">
                  <c:v>241000</c:v>
                </c:pt>
                <c:pt idx="2">
                  <c:v>248000</c:v>
                </c:pt>
                <c:pt idx="3">
                  <c:v>286000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3-4727-80E7-7AEF778F1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56736"/>
        <c:axId val="1527992304"/>
        <c:axId val="1299165648"/>
      </c:area3DChart>
      <c:catAx>
        <c:axId val="153615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2304"/>
        <c:crosses val="autoZero"/>
        <c:auto val="1"/>
        <c:lblAlgn val="ctr"/>
        <c:lblOffset val="100"/>
        <c:noMultiLvlLbl val="0"/>
      </c:catAx>
      <c:valAx>
        <c:axId val="15279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56736"/>
        <c:crosses val="autoZero"/>
        <c:crossBetween val="midCat"/>
      </c:valAx>
      <c:serAx>
        <c:axId val="12991656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2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[W4-D3-Data-Visualization.xlsx]Sales_Data!PivotTable4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Sales_Data!$B$24:$B$25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Sales_Data!$A$26:$A$30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Sales_Data!$B$26:$B$30</c:f>
              <c:numCache>
                <c:formatCode>General</c:formatCode>
                <c:ptCount val="4"/>
                <c:pt idx="0">
                  <c:v>62000</c:v>
                </c:pt>
                <c:pt idx="1">
                  <c:v>68000</c:v>
                </c:pt>
                <c:pt idx="2">
                  <c:v>75000</c:v>
                </c:pt>
                <c:pt idx="3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5-4409-9662-261DC3CB8EDD}"/>
            </c:ext>
          </c:extLst>
        </c:ser>
        <c:ser>
          <c:idx val="1"/>
          <c:order val="1"/>
          <c:tx>
            <c:strRef>
              <c:f>Sales_Data!$C$24:$C$25</c:f>
              <c:strCache>
                <c:ptCount val="1"/>
                <c:pt idx="0">
                  <c:v>Lucknow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Sales_Data!$A$26:$A$30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Sales_Data!$C$26:$C$30</c:f>
              <c:numCache>
                <c:formatCode>General</c:formatCode>
                <c:ptCount val="4"/>
                <c:pt idx="0">
                  <c:v>85000</c:v>
                </c:pt>
                <c:pt idx="1">
                  <c:v>92000</c:v>
                </c:pt>
                <c:pt idx="2">
                  <c:v>78000</c:v>
                </c:pt>
                <c:pt idx="3">
                  <c:v>105000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5-4409-9662-261DC3CB8EDD}"/>
            </c:ext>
          </c:extLst>
        </c:ser>
        <c:ser>
          <c:idx val="2"/>
          <c:order val="2"/>
          <c:tx>
            <c:strRef>
              <c:f>Sales_Data!$D$24:$D$25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Sales_Data!$A$26:$A$30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Sales_Data!$D$26:$D$30</c:f>
              <c:numCache>
                <c:formatCode>General</c:formatCode>
                <c:ptCount val="4"/>
                <c:pt idx="0">
                  <c:v>74000</c:v>
                </c:pt>
                <c:pt idx="1">
                  <c:v>81000</c:v>
                </c:pt>
                <c:pt idx="2">
                  <c:v>95000</c:v>
                </c:pt>
                <c:pt idx="3">
                  <c:v>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5-4409-9662-261DC3CB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225200"/>
        <c:axId val="579141488"/>
      </c:lineChart>
      <c:catAx>
        <c:axId val="13942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1488"/>
        <c:crosses val="autoZero"/>
        <c:auto val="1"/>
        <c:lblAlgn val="ctr"/>
        <c:lblOffset val="100"/>
        <c:noMultiLvlLbl val="0"/>
      </c:catAx>
      <c:valAx>
        <c:axId val="5791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Sales_Data!$B$36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Sales_Data!$A$37:$A$41</c:f>
              <c:strCache>
                <c:ptCount val="4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  <c:pt idx="3">
                  <c:v>(blank)</c:v>
                </c:pt>
              </c:strCache>
            </c:strRef>
          </c:cat>
          <c:val>
            <c:numRef>
              <c:f>Sales_Data!$B$37:$B$41</c:f>
              <c:numCache>
                <c:formatCode>General</c:formatCode>
                <c:ptCount val="4"/>
                <c:pt idx="0">
                  <c:v>287000</c:v>
                </c:pt>
                <c:pt idx="1">
                  <c:v>360000</c:v>
                </c:pt>
                <c:pt idx="2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B-49FE-9898-39A735AC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Sales_Data!$B$50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Sales_Data!$A$51:$A$55</c:f>
              <c:strCache>
                <c:ptCount val="4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  <c:pt idx="3">
                  <c:v>(blank)</c:v>
                </c:pt>
              </c:strCache>
            </c:strRef>
          </c:cat>
          <c:val>
            <c:numRef>
              <c:f>Sales_Data!$B$51:$B$55</c:f>
              <c:numCache>
                <c:formatCode>General</c:formatCode>
                <c:ptCount val="4"/>
                <c:pt idx="0">
                  <c:v>287000</c:v>
                </c:pt>
                <c:pt idx="1">
                  <c:v>360000</c:v>
                </c:pt>
                <c:pt idx="2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D-4B48-B204-37281664CE21}"/>
            </c:ext>
          </c:extLst>
        </c:ser>
        <c:ser>
          <c:idx val="1"/>
          <c:order val="1"/>
          <c:tx>
            <c:strRef>
              <c:f>Sales_Data!$C$50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Sales_Data!$A$51:$A$55</c:f>
              <c:strCache>
                <c:ptCount val="4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  <c:pt idx="3">
                  <c:v>(blank)</c:v>
                </c:pt>
              </c:strCache>
            </c:strRef>
          </c:cat>
          <c:val>
            <c:numRef>
              <c:f>Sales_Data!$C$51:$C$55</c:f>
              <c:numCache>
                <c:formatCode>General</c:formatCode>
                <c:ptCount val="4"/>
                <c:pt idx="0">
                  <c:v>57000</c:v>
                </c:pt>
                <c:pt idx="1">
                  <c:v>73500</c:v>
                </c:pt>
                <c:pt idx="2">
                  <c:v>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D-4B48-B204-37281664C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829408"/>
        <c:axId val="1398843280"/>
      </c:barChart>
      <c:catAx>
        <c:axId val="13238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43280"/>
        <c:crosses val="autoZero"/>
        <c:auto val="1"/>
        <c:lblAlgn val="ctr"/>
        <c:lblOffset val="100"/>
        <c:noMultiLvlLbl val="0"/>
      </c:catAx>
      <c:valAx>
        <c:axId val="13988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Sales_Data!$A$62:$A$66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Sales_Data!$B$62:$B$66</c:f>
              <c:numCache>
                <c:formatCode>General</c:formatCode>
                <c:ptCount val="4"/>
                <c:pt idx="0">
                  <c:v>221000</c:v>
                </c:pt>
                <c:pt idx="1">
                  <c:v>241000</c:v>
                </c:pt>
                <c:pt idx="2">
                  <c:v>248000</c:v>
                </c:pt>
                <c:pt idx="3">
                  <c:v>286000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B-4C16-A514-FEB642CA5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336048"/>
        <c:axId val="1398814480"/>
      </c:barChart>
      <c:catAx>
        <c:axId val="13163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14480"/>
        <c:crosses val="autoZero"/>
        <c:auto val="1"/>
        <c:lblAlgn val="ctr"/>
        <c:lblOffset val="100"/>
        <c:noMultiLvlLbl val="0"/>
      </c:catAx>
      <c:valAx>
        <c:axId val="13988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Sales_Data!$G$2:$G$5</c:f>
              <c:strCache>
                <c:ptCount val="3"/>
                <c:pt idx="0">
                  <c:v>Delhi</c:v>
                </c:pt>
                <c:pt idx="1">
                  <c:v>Lucknow</c:v>
                </c:pt>
                <c:pt idx="2">
                  <c:v>Mumbai</c:v>
                </c:pt>
              </c:strCache>
            </c:strRef>
          </c:cat>
          <c:val>
            <c:numRef>
              <c:f>Sales_Data!$H$2:$H$5</c:f>
              <c:numCache>
                <c:formatCode>General</c:formatCode>
                <c:ptCount val="3"/>
                <c:pt idx="0">
                  <c:v>287000</c:v>
                </c:pt>
                <c:pt idx="1">
                  <c:v>360000</c:v>
                </c:pt>
                <c:pt idx="2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AEF-B4BD-966C841C2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117712"/>
        <c:axId val="1527986064"/>
      </c:barChart>
      <c:catAx>
        <c:axId val="12981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86064"/>
        <c:crosses val="autoZero"/>
        <c:auto val="1"/>
        <c:lblAlgn val="ctr"/>
        <c:lblOffset val="100"/>
        <c:noMultiLvlLbl val="0"/>
      </c:catAx>
      <c:valAx>
        <c:axId val="15279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[W4-D3-Data-Visualization.xlsx]Sales_Data!PivotTable2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Sales_Data!$B$17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Sales_Data!$A$18:$A$22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Sales_Data!$B$18:$B$22</c:f>
              <c:numCache>
                <c:formatCode>General</c:formatCode>
                <c:ptCount val="4"/>
                <c:pt idx="0">
                  <c:v>221000</c:v>
                </c:pt>
                <c:pt idx="1">
                  <c:v>241000</c:v>
                </c:pt>
                <c:pt idx="2">
                  <c:v>248000</c:v>
                </c:pt>
                <c:pt idx="3">
                  <c:v>286000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4-4217-9B1B-9364E1AE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56736"/>
        <c:axId val="1527992304"/>
        <c:axId val="1299165648"/>
      </c:area3DChart>
      <c:catAx>
        <c:axId val="153615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2304"/>
        <c:crosses val="autoZero"/>
        <c:auto val="1"/>
        <c:lblAlgn val="ctr"/>
        <c:lblOffset val="100"/>
        <c:noMultiLvlLbl val="0"/>
      </c:catAx>
      <c:valAx>
        <c:axId val="15279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56736"/>
        <c:crosses val="autoZero"/>
        <c:crossBetween val="midCat"/>
      </c:valAx>
      <c:serAx>
        <c:axId val="12991656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2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 meth="repeat">
      <a:schemeClr val="accent1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 meth="repeat">
      <a:schemeClr val="accent1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224BE7A-5881-45C3-8902-D567DAB8CB0D}" type="doc">
      <dgm:prSet loTypeId="urn:microsoft.com/office/officeart/2005/8/layout/hList6" loCatId="list" qsTypeId="urn:microsoft.com/office/officeart/2005/8/quickstyle/simple4" qsCatId="simple" csTypeId="urn:microsoft.com/office/officeart/2005/8/colors/accent1_2" csCatId="accent1" phldr="1"/>
      <dgm:spPr/>
    </dgm:pt>
    <dgm:pt modelId="{226A7672-2479-40A0-A61E-F5418056495A}">
      <dgm:prSet phldrT="[Text]"/>
      <dgm:spPr/>
      <dgm:t>
        <a:bodyPr/>
        <a:lstStyle/>
        <a:p>
          <a:r>
            <a:rPr lang="en-US"/>
            <a:t>Total sale:</a:t>
          </a:r>
          <a:br>
            <a:rPr lang="en-US"/>
          </a:br>
          <a:r>
            <a:rPr lang="en-US"/>
            <a:t>996000</a:t>
          </a:r>
        </a:p>
      </dgm:t>
    </dgm:pt>
    <dgm:pt modelId="{66DB87A2-A86F-47ED-8359-DD69646F4BFB}" type="parTrans" cxnId="{68A46308-6CA0-49F7-A77C-6B04C57D55DA}">
      <dgm:prSet/>
      <dgm:spPr/>
      <dgm:t>
        <a:bodyPr/>
        <a:lstStyle/>
        <a:p>
          <a:endParaRPr lang="en-US"/>
        </a:p>
      </dgm:t>
    </dgm:pt>
    <dgm:pt modelId="{11E7A81E-D11B-455C-8DFB-349E2986AF97}" type="sibTrans" cxnId="{68A46308-6CA0-49F7-A77C-6B04C57D55DA}">
      <dgm:prSet/>
      <dgm:spPr/>
      <dgm:t>
        <a:bodyPr/>
        <a:lstStyle/>
        <a:p>
          <a:endParaRPr lang="en-US"/>
        </a:p>
      </dgm:t>
    </dgm:pt>
    <dgm:pt modelId="{16A791BC-A1A6-4FDA-AC3A-FE6F7D97E174}">
      <dgm:prSet phldrT="[Text]"/>
      <dgm:spPr/>
      <dgm:t>
        <a:bodyPr/>
        <a:lstStyle/>
        <a:p>
          <a:r>
            <a:rPr lang="en-US"/>
            <a:t>Total Profit:</a:t>
          </a:r>
          <a:br>
            <a:rPr lang="en-US"/>
          </a:br>
          <a:r>
            <a:rPr lang="en-US"/>
            <a:t>200000</a:t>
          </a:r>
        </a:p>
      </dgm:t>
    </dgm:pt>
    <dgm:pt modelId="{63E49BDD-EF2F-4BB3-AFAE-A00CD3F74A41}" type="parTrans" cxnId="{FB634D92-76EF-47EF-A013-3A75451199F9}">
      <dgm:prSet/>
      <dgm:spPr/>
      <dgm:t>
        <a:bodyPr/>
        <a:lstStyle/>
        <a:p>
          <a:endParaRPr lang="en-US"/>
        </a:p>
      </dgm:t>
    </dgm:pt>
    <dgm:pt modelId="{94596907-F3A4-455B-A503-4230F0175CCE}" type="sibTrans" cxnId="{FB634D92-76EF-47EF-A013-3A75451199F9}">
      <dgm:prSet/>
      <dgm:spPr/>
      <dgm:t>
        <a:bodyPr/>
        <a:lstStyle/>
        <a:p>
          <a:endParaRPr lang="en-US"/>
        </a:p>
      </dgm:t>
    </dgm:pt>
    <dgm:pt modelId="{A2227FEF-D749-476A-8F76-A3E1F7B2A60E}">
      <dgm:prSet phldrT="[Text]"/>
      <dgm:spPr/>
      <dgm:t>
        <a:bodyPr/>
        <a:lstStyle/>
        <a:p>
          <a:r>
            <a:rPr lang="en-US"/>
            <a:t>Total Order:12</a:t>
          </a:r>
        </a:p>
      </dgm:t>
    </dgm:pt>
    <dgm:pt modelId="{78C0B601-686C-4C94-81C5-19090FC743E6}" type="parTrans" cxnId="{EF2090CE-6E77-4F6C-924A-002675160BEF}">
      <dgm:prSet/>
      <dgm:spPr/>
      <dgm:t>
        <a:bodyPr/>
        <a:lstStyle/>
        <a:p>
          <a:endParaRPr lang="en-US"/>
        </a:p>
      </dgm:t>
    </dgm:pt>
    <dgm:pt modelId="{5520078F-527F-49D7-B877-3522C0127BF4}" type="sibTrans" cxnId="{EF2090CE-6E77-4F6C-924A-002675160BEF}">
      <dgm:prSet/>
      <dgm:spPr/>
      <dgm:t>
        <a:bodyPr/>
        <a:lstStyle/>
        <a:p>
          <a:endParaRPr lang="en-US"/>
        </a:p>
      </dgm:t>
    </dgm:pt>
    <dgm:pt modelId="{5207E595-AC9B-4D63-B43B-BE16EB02C16F}" type="pres">
      <dgm:prSet presAssocID="{9224BE7A-5881-45C3-8902-D567DAB8CB0D}" presName="Name0" presStyleCnt="0">
        <dgm:presLayoutVars>
          <dgm:dir/>
          <dgm:resizeHandles val="exact"/>
        </dgm:presLayoutVars>
      </dgm:prSet>
      <dgm:spPr/>
    </dgm:pt>
    <dgm:pt modelId="{59CE49EE-2FB2-449E-B66D-679F66BB32BE}" type="pres">
      <dgm:prSet presAssocID="{226A7672-2479-40A0-A61E-F5418056495A}" presName="node" presStyleLbl="node1" presStyleIdx="0" presStyleCnt="3">
        <dgm:presLayoutVars>
          <dgm:bulletEnabled val="1"/>
        </dgm:presLayoutVars>
      </dgm:prSet>
      <dgm:spPr/>
    </dgm:pt>
    <dgm:pt modelId="{FABB3ECD-7247-4F48-9519-410D477B8A77}" type="pres">
      <dgm:prSet presAssocID="{11E7A81E-D11B-455C-8DFB-349E2986AF97}" presName="sibTrans" presStyleCnt="0"/>
      <dgm:spPr/>
    </dgm:pt>
    <dgm:pt modelId="{1DBB360F-4D97-4E35-B82E-BEFE11237CF3}" type="pres">
      <dgm:prSet presAssocID="{16A791BC-A1A6-4FDA-AC3A-FE6F7D97E174}" presName="node" presStyleLbl="node1" presStyleIdx="1" presStyleCnt="3">
        <dgm:presLayoutVars>
          <dgm:bulletEnabled val="1"/>
        </dgm:presLayoutVars>
      </dgm:prSet>
      <dgm:spPr/>
    </dgm:pt>
    <dgm:pt modelId="{E683D4EF-4781-403C-8CC5-4B4B1F6F919D}" type="pres">
      <dgm:prSet presAssocID="{94596907-F3A4-455B-A503-4230F0175CCE}" presName="sibTrans" presStyleCnt="0"/>
      <dgm:spPr/>
    </dgm:pt>
    <dgm:pt modelId="{2747BF5A-D5E0-4FC4-BA09-43A53AE79A00}" type="pres">
      <dgm:prSet presAssocID="{A2227FEF-D749-476A-8F76-A3E1F7B2A60E}" presName="node" presStyleLbl="node1" presStyleIdx="2" presStyleCnt="3">
        <dgm:presLayoutVars>
          <dgm:bulletEnabled val="1"/>
        </dgm:presLayoutVars>
      </dgm:prSet>
      <dgm:spPr/>
    </dgm:pt>
  </dgm:ptLst>
  <dgm:cxnLst>
    <dgm:cxn modelId="{68A46308-6CA0-49F7-A77C-6B04C57D55DA}" srcId="{9224BE7A-5881-45C3-8902-D567DAB8CB0D}" destId="{226A7672-2479-40A0-A61E-F5418056495A}" srcOrd="0" destOrd="0" parTransId="{66DB87A2-A86F-47ED-8359-DD69646F4BFB}" sibTransId="{11E7A81E-D11B-455C-8DFB-349E2986AF97}"/>
    <dgm:cxn modelId="{EA9BAA67-79EF-49D5-BF00-A9CB1064EFC1}" type="presOf" srcId="{16A791BC-A1A6-4FDA-AC3A-FE6F7D97E174}" destId="{1DBB360F-4D97-4E35-B82E-BEFE11237CF3}" srcOrd="0" destOrd="0" presId="urn:microsoft.com/office/officeart/2005/8/layout/hList6"/>
    <dgm:cxn modelId="{D3253A6B-4EC5-42B9-9BAD-FF779345354D}" type="presOf" srcId="{226A7672-2479-40A0-A61E-F5418056495A}" destId="{59CE49EE-2FB2-449E-B66D-679F66BB32BE}" srcOrd="0" destOrd="0" presId="urn:microsoft.com/office/officeart/2005/8/layout/hList6"/>
    <dgm:cxn modelId="{31028081-7BCE-4E38-A124-EBA613D4A190}" type="presOf" srcId="{A2227FEF-D749-476A-8F76-A3E1F7B2A60E}" destId="{2747BF5A-D5E0-4FC4-BA09-43A53AE79A00}" srcOrd="0" destOrd="0" presId="urn:microsoft.com/office/officeart/2005/8/layout/hList6"/>
    <dgm:cxn modelId="{FB634D92-76EF-47EF-A013-3A75451199F9}" srcId="{9224BE7A-5881-45C3-8902-D567DAB8CB0D}" destId="{16A791BC-A1A6-4FDA-AC3A-FE6F7D97E174}" srcOrd="1" destOrd="0" parTransId="{63E49BDD-EF2F-4BB3-AFAE-A00CD3F74A41}" sibTransId="{94596907-F3A4-455B-A503-4230F0175CCE}"/>
    <dgm:cxn modelId="{EF2090CE-6E77-4F6C-924A-002675160BEF}" srcId="{9224BE7A-5881-45C3-8902-D567DAB8CB0D}" destId="{A2227FEF-D749-476A-8F76-A3E1F7B2A60E}" srcOrd="2" destOrd="0" parTransId="{78C0B601-686C-4C94-81C5-19090FC743E6}" sibTransId="{5520078F-527F-49D7-B877-3522C0127BF4}"/>
    <dgm:cxn modelId="{871594E5-2648-4E95-8F66-B4E95A493A17}" type="presOf" srcId="{9224BE7A-5881-45C3-8902-D567DAB8CB0D}" destId="{5207E595-AC9B-4D63-B43B-BE16EB02C16F}" srcOrd="0" destOrd="0" presId="urn:microsoft.com/office/officeart/2005/8/layout/hList6"/>
    <dgm:cxn modelId="{B041E6E8-7026-4A44-9E74-0394E112D57A}" type="presParOf" srcId="{5207E595-AC9B-4D63-B43B-BE16EB02C16F}" destId="{59CE49EE-2FB2-449E-B66D-679F66BB32BE}" srcOrd="0" destOrd="0" presId="urn:microsoft.com/office/officeart/2005/8/layout/hList6"/>
    <dgm:cxn modelId="{B4591243-1990-460A-8258-BDA732431DCC}" type="presParOf" srcId="{5207E595-AC9B-4D63-B43B-BE16EB02C16F}" destId="{FABB3ECD-7247-4F48-9519-410D477B8A77}" srcOrd="1" destOrd="0" presId="urn:microsoft.com/office/officeart/2005/8/layout/hList6"/>
    <dgm:cxn modelId="{B14C4F2D-3BA2-49F3-A80F-642B00598EA2}" type="presParOf" srcId="{5207E595-AC9B-4D63-B43B-BE16EB02C16F}" destId="{1DBB360F-4D97-4E35-B82E-BEFE11237CF3}" srcOrd="2" destOrd="0" presId="urn:microsoft.com/office/officeart/2005/8/layout/hList6"/>
    <dgm:cxn modelId="{59F40394-ED54-495D-9F1D-BBE64063BF0C}" type="presParOf" srcId="{5207E595-AC9B-4D63-B43B-BE16EB02C16F}" destId="{E683D4EF-4781-403C-8CC5-4B4B1F6F919D}" srcOrd="3" destOrd="0" presId="urn:microsoft.com/office/officeart/2005/8/layout/hList6"/>
    <dgm:cxn modelId="{A4081AA8-3EDA-448E-B66D-DAE371C56D8F}" type="presParOf" srcId="{5207E595-AC9B-4D63-B43B-BE16EB02C16F}" destId="{2747BF5A-D5E0-4FC4-BA09-43A53AE79A00}" srcOrd="4" destOrd="0" presId="urn:microsoft.com/office/officeart/2005/8/layout/h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9CE49EE-2FB2-449E-B66D-679F66BB32BE}">
      <dsp:nvSpPr>
        <dsp:cNvPr id="0" name=""/>
        <dsp:cNvSpPr/>
      </dsp:nvSpPr>
      <dsp:spPr>
        <a:xfrm rot="16200000">
          <a:off x="-356742" y="357117"/>
          <a:ext cx="1690688" cy="976452"/>
        </a:xfrm>
        <a:prstGeom prst="flowChartManualOperation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583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Total sale:</a:t>
          </a:r>
          <a:br>
            <a:rPr lang="en-US" sz="1600" kern="1200"/>
          </a:br>
          <a:r>
            <a:rPr lang="en-US" sz="1600" kern="1200"/>
            <a:t>996000</a:t>
          </a:r>
        </a:p>
      </dsp:txBody>
      <dsp:txXfrm rot="5400000">
        <a:off x="376" y="338137"/>
        <a:ext cx="976452" cy="1014412"/>
      </dsp:txXfrm>
    </dsp:sp>
    <dsp:sp modelId="{1DBB360F-4D97-4E35-B82E-BEFE11237CF3}">
      <dsp:nvSpPr>
        <dsp:cNvPr id="0" name=""/>
        <dsp:cNvSpPr/>
      </dsp:nvSpPr>
      <dsp:spPr>
        <a:xfrm rot="16200000">
          <a:off x="692943" y="357117"/>
          <a:ext cx="1690688" cy="976452"/>
        </a:xfrm>
        <a:prstGeom prst="flowChartManualOperation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583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Total Profit:</a:t>
          </a:r>
          <a:br>
            <a:rPr lang="en-US" sz="1600" kern="1200"/>
          </a:br>
          <a:r>
            <a:rPr lang="en-US" sz="1600" kern="1200"/>
            <a:t>200000</a:t>
          </a:r>
        </a:p>
      </dsp:txBody>
      <dsp:txXfrm rot="5400000">
        <a:off x="1050061" y="338137"/>
        <a:ext cx="976452" cy="1014412"/>
      </dsp:txXfrm>
    </dsp:sp>
    <dsp:sp modelId="{2747BF5A-D5E0-4FC4-BA09-43A53AE79A00}">
      <dsp:nvSpPr>
        <dsp:cNvPr id="0" name=""/>
        <dsp:cNvSpPr/>
      </dsp:nvSpPr>
      <dsp:spPr>
        <a:xfrm rot="16200000">
          <a:off x="1742629" y="357117"/>
          <a:ext cx="1690688" cy="976452"/>
        </a:xfrm>
        <a:prstGeom prst="flowChartManualOperation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1600" tIns="0" rIns="101583" bIns="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Total Order:12</a:t>
          </a:r>
        </a:p>
      </dsp:txBody>
      <dsp:txXfrm rot="5400000">
        <a:off x="2099747" y="338137"/>
        <a:ext cx="976452" cy="101441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6">
  <dgm:title val=""/>
  <dgm:desc val=""/>
  <dgm:catLst>
    <dgm:cat type="list" pri="18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ptType="node" refType="h"/>
      <dgm:constr type="w" for="ch" ptType="node" refType="w"/>
      <dgm:constr type="primFontSz" for="ch" ptType="node" op="equ"/>
      <dgm:constr type="w" for="ch" forName="sibTrans" refType="w" fact="0.075"/>
    </dgm:constrLst>
    <dgm:ruleLst/>
    <dgm:forEach name="nodesForEach" axis="ch" ptType="node">
      <dgm:layoutNode name="node">
        <dgm:varLst>
          <dgm:bulletEnabled val="1"/>
        </dgm:varLst>
        <dgm:alg type="tx"/>
        <dgm:choose name="Name4">
          <dgm:if name="Name5" func="var" arg="dir" op="equ" val="norm">
            <dgm:shape xmlns:r="http://schemas.openxmlformats.org/officeDocument/2006/relationships" rot="-90" type="flowChartManualOperation" r:blip="">
              <dgm:adjLst/>
            </dgm:shape>
          </dgm:if>
          <dgm:else name="Name6">
            <dgm:shape xmlns:r="http://schemas.openxmlformats.org/officeDocument/2006/relationships" rot="90" type="flowChartManualOperation" r:blip="">
              <dgm:adjLst/>
            </dgm:shape>
          </dgm:else>
        </dgm:choose>
        <dgm:presOf axis="desOrSelf" ptType="node"/>
        <dgm:constrLst>
          <dgm:constr type="primFontSz" val="65"/>
          <dgm:constr type="tMarg"/>
          <dgm:constr type="bMarg"/>
          <dgm:constr type="lMarg" refType="primFontSz" fact="0.5"/>
          <dgm:constr type="rMarg" refType="lMarg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0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tNode1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NoLn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lt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chart" Target="../charts/chart9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8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5</xdr:row>
      <xdr:rowOff>23812</xdr:rowOff>
    </xdr:from>
    <xdr:to>
      <xdr:col>11</xdr:col>
      <xdr:colOff>38100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B067F-6D41-FDDF-9275-39DA64D18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5</xdr:row>
      <xdr:rowOff>33337</xdr:rowOff>
    </xdr:from>
    <xdr:to>
      <xdr:col>16</xdr:col>
      <xdr:colOff>323850</xdr:colOff>
      <xdr:row>15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96C41C-CD6C-1AA4-747E-D1036A5CE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228599</xdr:colOff>
      <xdr:row>14</xdr:row>
      <xdr:rowOff>61911</xdr:rowOff>
    </xdr:from>
    <xdr:to>
      <xdr:col>7</xdr:col>
      <xdr:colOff>390524</xdr:colOff>
      <xdr:row>22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01EA18-5348-9A8E-980B-1530B7626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114300</xdr:colOff>
      <xdr:row>23</xdr:row>
      <xdr:rowOff>4762</xdr:rowOff>
    </xdr:from>
    <xdr:to>
      <xdr:col>10</xdr:col>
      <xdr:colOff>285750</xdr:colOff>
      <xdr:row>34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CCBAA0-43A6-C6A5-F821-BAE47410E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171450</xdr:colOff>
      <xdr:row>34</xdr:row>
      <xdr:rowOff>90487</xdr:rowOff>
    </xdr:from>
    <xdr:to>
      <xdr:col>6</xdr:col>
      <xdr:colOff>438150</xdr:colOff>
      <xdr:row>46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24937C-85F1-304A-7A66-C164868D8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47625</xdr:colOff>
      <xdr:row>48</xdr:row>
      <xdr:rowOff>166687</xdr:rowOff>
    </xdr:from>
    <xdr:to>
      <xdr:col>8</xdr:col>
      <xdr:colOff>285750</xdr:colOff>
      <xdr:row>59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6BE2B4-FBF0-CB2D-7E26-A8C91F629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180975</xdr:colOff>
      <xdr:row>59</xdr:row>
      <xdr:rowOff>61912</xdr:rowOff>
    </xdr:from>
    <xdr:to>
      <xdr:col>6</xdr:col>
      <xdr:colOff>838200</xdr:colOff>
      <xdr:row>70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BD19C7-6E5F-4E39-2D82-267FD28FE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</xdr:row>
      <xdr:rowOff>80962</xdr:rowOff>
    </xdr:from>
    <xdr:to>
      <xdr:col>10</xdr:col>
      <xdr:colOff>552450</xdr:colOff>
      <xdr:row>11</xdr:row>
      <xdr:rowOff>57150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7E3AD16-060B-C8F8-8184-DD0F61EFF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371475</xdr:colOff>
      <xdr:row>2</xdr:row>
      <xdr:rowOff>66674</xdr:rowOff>
    </xdr:from>
    <xdr:to>
      <xdr:col>5</xdr:col>
      <xdr:colOff>504825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D515E-5F00-4F27-AA1D-F5BBF5649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523875</xdr:colOff>
      <xdr:row>11</xdr:row>
      <xdr:rowOff>161925</xdr:rowOff>
    </xdr:from>
    <xdr:to>
      <xdr:col>10</xdr:col>
      <xdr:colOff>476250</xdr:colOff>
      <xdr:row>19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5F3FA-D9AD-4268-8341-C63491CB1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8.77005983796" createdVersion="8" refreshedVersion="8" minRefreshableVersion="3" recordCount="12" xr:uid="{062CE957-BA11-4FCC-9F6F-E09971EBCD1E}">
  <cacheSource type="worksheet">
    <worksheetSource ref="A1:E13" sheet="Sales_Data"/>
  </cacheSource>
  <cacheFields count="5">
    <cacheField name="Month" numFmtId="0">
      <sharedItems count="4">
        <s v="Jan"/>
        <s v="Feb"/>
        <s v="Mar"/>
        <s v="Apr"/>
      </sharedItems>
    </cacheField>
    <cacheField name="City" numFmtId="0">
      <sharedItems count="3">
        <s v="Lucknow"/>
        <s v="Delhi"/>
        <s v="Mumbai"/>
      </sharedItems>
    </cacheField>
    <cacheField name="Sales" numFmtId="0">
      <sharedItems containsSemiMixedTypes="0" containsString="0" containsNumber="1" containsInteger="1" minValue="62000" maxValue="105000"/>
    </cacheField>
    <cacheField name="Orders" numFmtId="0">
      <sharedItems containsSemiMixedTypes="0" containsString="0" containsNumber="1" containsInteger="1" minValue="15" maxValue="24"/>
    </cacheField>
    <cacheField name="Profit" numFmtId="0">
      <sharedItems containsSemiMixedTypes="0" containsString="0" containsNumber="1" containsInteger="1" minValue="120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8.775021643516" createdVersion="8" refreshedVersion="8" minRefreshableVersion="3" recordCount="13" xr:uid="{33238463-C7FD-4D50-9C01-0B8F81A215C6}">
  <cacheSource type="worksheet">
    <worksheetSource ref="A1:H14" sheet="Sales_Data"/>
  </cacheSource>
  <cacheFields count="8">
    <cacheField name="Month" numFmtId="0">
      <sharedItems containsBlank="1"/>
    </cacheField>
    <cacheField name="City" numFmtId="0">
      <sharedItems containsBlank="1" count="4">
        <s v="Lucknow"/>
        <s v="Delhi"/>
        <s v="Mumbai"/>
        <m/>
      </sharedItems>
    </cacheField>
    <cacheField name="Sales" numFmtId="0">
      <sharedItems containsString="0" containsBlank="1" containsNumber="1" containsInteger="1" minValue="62000" maxValue="105000"/>
    </cacheField>
    <cacheField name="Orders" numFmtId="0">
      <sharedItems containsString="0" containsBlank="1" containsNumber="1" containsInteger="1" minValue="15" maxValue="24"/>
    </cacheField>
    <cacheField name="Profit" numFmtId="0">
      <sharedItems containsString="0" containsBlank="1" containsNumber="1" containsInteger="1" minValue="12000" maxValue="22000"/>
    </cacheField>
    <cacheField name="Field6" caption="Field6" numFmtId="0">
      <sharedItems containsNonDate="0" containsString="0" containsBlank="1"/>
    </cacheField>
    <cacheField name="Row Labels" numFmtId="0">
      <sharedItems containsBlank="1"/>
    </cacheField>
    <cacheField name="Sum of Sales" numFmtId="0">
      <sharedItems containsString="0" containsBlank="1" containsNumber="1" containsInteger="1" minValue="287000" maxValue="9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8.776441666669" createdVersion="8" refreshedVersion="8" minRefreshableVersion="3" recordCount="14" xr:uid="{7D3320B4-7C6C-4894-9415-A221AE9097CB}">
  <cacheSource type="worksheet">
    <worksheetSource ref="A1:H15" sheet="Sales_Data"/>
  </cacheSource>
  <cacheFields count="8">
    <cacheField name="Month" numFmtId="0">
      <sharedItems containsBlank="1"/>
    </cacheField>
    <cacheField name="City" numFmtId="0">
      <sharedItems containsBlank="1" count="4">
        <s v="Lucknow"/>
        <s v="Delhi"/>
        <s v="Mumbai"/>
        <m/>
      </sharedItems>
    </cacheField>
    <cacheField name="Sales" numFmtId="0">
      <sharedItems containsString="0" containsBlank="1" containsNumber="1" containsInteger="1" minValue="62000" maxValue="105000"/>
    </cacheField>
    <cacheField name="Orders" numFmtId="0">
      <sharedItems containsString="0" containsBlank="1" containsNumber="1" containsInteger="1" minValue="15" maxValue="24"/>
    </cacheField>
    <cacheField name="Profit" numFmtId="0">
      <sharedItems containsString="0" containsBlank="1" containsNumber="1" containsInteger="1" minValue="12000" maxValue="22000"/>
    </cacheField>
    <cacheField name="Field6" caption="Field6" numFmtId="0">
      <sharedItems containsNonDate="0" containsString="0" containsBlank="1"/>
    </cacheField>
    <cacheField name="Row Labels" numFmtId="0">
      <sharedItems containsBlank="1"/>
    </cacheField>
    <cacheField name="Sum of Sales" numFmtId="0">
      <sharedItems containsString="0" containsBlank="1" containsNumber="1" containsInteger="1" minValue="287000" maxValue="9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8.778422222225" createdVersion="8" refreshedVersion="8" minRefreshableVersion="3" recordCount="12" xr:uid="{09571B88-2E16-4976-8A30-615DCDB995F4}">
  <cacheSource type="worksheet">
    <worksheetSource ref="A1:H13" sheet="Sales_Data"/>
  </cacheSource>
  <cacheFields count="8">
    <cacheField name="Month" numFmtId="0">
      <sharedItems count="4">
        <s v="Jan"/>
        <s v="Feb"/>
        <s v="Mar"/>
        <s v="Apr"/>
      </sharedItems>
    </cacheField>
    <cacheField name="City" numFmtId="0">
      <sharedItems/>
    </cacheField>
    <cacheField name="Sales" numFmtId="0">
      <sharedItems containsSemiMixedTypes="0" containsString="0" containsNumber="1" containsInteger="1" minValue="62000" maxValue="105000"/>
    </cacheField>
    <cacheField name="Orders" numFmtId="0">
      <sharedItems containsSemiMixedTypes="0" containsString="0" containsNumber="1" containsInteger="1" minValue="15" maxValue="24"/>
    </cacheField>
    <cacheField name="Profit" numFmtId="0">
      <sharedItems containsSemiMixedTypes="0" containsString="0" containsNumber="1" containsInteger="1" minValue="12000" maxValue="22000"/>
    </cacheField>
    <cacheField name="Field6" caption="Field6" numFmtId="0">
      <sharedItems containsNonDate="0" containsString="0" containsBlank="1"/>
    </cacheField>
    <cacheField name="Row Labels" numFmtId="0">
      <sharedItems containsBlank="1"/>
    </cacheField>
    <cacheField name="Sum of Sales" numFmtId="0">
      <sharedItems containsString="0" containsBlank="1" containsNumber="1" containsInteger="1" minValue="287000" maxValue="9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85000"/>
    <n v="18"/>
    <n v="17000"/>
  </r>
  <r>
    <x v="0"/>
    <x v="1"/>
    <n v="62000"/>
    <n v="15"/>
    <n v="12000"/>
  </r>
  <r>
    <x v="0"/>
    <x v="2"/>
    <n v="74000"/>
    <n v="16"/>
    <n v="14500"/>
  </r>
  <r>
    <x v="1"/>
    <x v="0"/>
    <n v="92000"/>
    <n v="21"/>
    <n v="19000"/>
  </r>
  <r>
    <x v="1"/>
    <x v="1"/>
    <n v="68000"/>
    <n v="17"/>
    <n v="13500"/>
  </r>
  <r>
    <x v="1"/>
    <x v="2"/>
    <n v="81000"/>
    <n v="19"/>
    <n v="16000"/>
  </r>
  <r>
    <x v="2"/>
    <x v="0"/>
    <n v="78000"/>
    <n v="16"/>
    <n v="15500"/>
  </r>
  <r>
    <x v="2"/>
    <x v="1"/>
    <n v="75000"/>
    <n v="18"/>
    <n v="15000"/>
  </r>
  <r>
    <x v="2"/>
    <x v="2"/>
    <n v="95000"/>
    <n v="22"/>
    <n v="19000"/>
  </r>
  <r>
    <x v="3"/>
    <x v="0"/>
    <n v="105000"/>
    <n v="24"/>
    <n v="22000"/>
  </r>
  <r>
    <x v="3"/>
    <x v="1"/>
    <n v="82000"/>
    <n v="20"/>
    <n v="16500"/>
  </r>
  <r>
    <x v="3"/>
    <x v="2"/>
    <n v="99000"/>
    <n v="23"/>
    <n v="2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Jan"/>
    <x v="0"/>
    <n v="85000"/>
    <n v="18"/>
    <n v="17000"/>
    <m/>
    <s v="Delhi"/>
    <n v="287000"/>
  </r>
  <r>
    <s v="Jan"/>
    <x v="1"/>
    <n v="62000"/>
    <n v="15"/>
    <n v="12000"/>
    <m/>
    <s v="Lucknow"/>
    <n v="360000"/>
  </r>
  <r>
    <s v="Jan"/>
    <x v="2"/>
    <n v="74000"/>
    <n v="16"/>
    <n v="14500"/>
    <m/>
    <s v="Mumbai"/>
    <n v="349000"/>
  </r>
  <r>
    <s v="Feb"/>
    <x v="0"/>
    <n v="92000"/>
    <n v="21"/>
    <n v="19000"/>
    <m/>
    <s v="Grand Total"/>
    <n v="996000"/>
  </r>
  <r>
    <s v="Feb"/>
    <x v="1"/>
    <n v="68000"/>
    <n v="17"/>
    <n v="13500"/>
    <m/>
    <m/>
    <m/>
  </r>
  <r>
    <s v="Feb"/>
    <x v="2"/>
    <n v="81000"/>
    <n v="19"/>
    <n v="16000"/>
    <m/>
    <m/>
    <m/>
  </r>
  <r>
    <s v="Mar"/>
    <x v="0"/>
    <n v="78000"/>
    <n v="16"/>
    <n v="15500"/>
    <m/>
    <m/>
    <m/>
  </r>
  <r>
    <s v="Mar"/>
    <x v="1"/>
    <n v="75000"/>
    <n v="18"/>
    <n v="15000"/>
    <m/>
    <m/>
    <m/>
  </r>
  <r>
    <s v="Mar"/>
    <x v="2"/>
    <n v="95000"/>
    <n v="22"/>
    <n v="19000"/>
    <m/>
    <m/>
    <m/>
  </r>
  <r>
    <s v="Apr"/>
    <x v="0"/>
    <n v="105000"/>
    <n v="24"/>
    <n v="22000"/>
    <m/>
    <m/>
    <m/>
  </r>
  <r>
    <s v="Apr"/>
    <x v="1"/>
    <n v="82000"/>
    <n v="20"/>
    <n v="16500"/>
    <m/>
    <m/>
    <m/>
  </r>
  <r>
    <s v="Apr"/>
    <x v="2"/>
    <n v="99000"/>
    <n v="23"/>
    <n v="20000"/>
    <m/>
    <m/>
    <m/>
  </r>
  <r>
    <m/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Jan"/>
    <x v="0"/>
    <n v="85000"/>
    <n v="18"/>
    <n v="17000"/>
    <m/>
    <s v="Delhi"/>
    <n v="287000"/>
  </r>
  <r>
    <s v="Jan"/>
    <x v="1"/>
    <n v="62000"/>
    <n v="15"/>
    <n v="12000"/>
    <m/>
    <s v="Lucknow"/>
    <n v="360000"/>
  </r>
  <r>
    <s v="Jan"/>
    <x v="2"/>
    <n v="74000"/>
    <n v="16"/>
    <n v="14500"/>
    <m/>
    <s v="Mumbai"/>
    <n v="349000"/>
  </r>
  <r>
    <s v="Feb"/>
    <x v="0"/>
    <n v="92000"/>
    <n v="21"/>
    <n v="19000"/>
    <m/>
    <s v="Grand Total"/>
    <n v="996000"/>
  </r>
  <r>
    <s v="Feb"/>
    <x v="1"/>
    <n v="68000"/>
    <n v="17"/>
    <n v="13500"/>
    <m/>
    <m/>
    <m/>
  </r>
  <r>
    <s v="Feb"/>
    <x v="2"/>
    <n v="81000"/>
    <n v="19"/>
    <n v="16000"/>
    <m/>
    <m/>
    <m/>
  </r>
  <r>
    <s v="Mar"/>
    <x v="0"/>
    <n v="78000"/>
    <n v="16"/>
    <n v="15500"/>
    <m/>
    <m/>
    <m/>
  </r>
  <r>
    <s v="Mar"/>
    <x v="1"/>
    <n v="75000"/>
    <n v="18"/>
    <n v="15000"/>
    <m/>
    <m/>
    <m/>
  </r>
  <r>
    <s v="Mar"/>
    <x v="2"/>
    <n v="95000"/>
    <n v="22"/>
    <n v="19000"/>
    <m/>
    <m/>
    <m/>
  </r>
  <r>
    <s v="Apr"/>
    <x v="0"/>
    <n v="105000"/>
    <n v="24"/>
    <n v="22000"/>
    <m/>
    <m/>
    <m/>
  </r>
  <r>
    <s v="Apr"/>
    <x v="1"/>
    <n v="82000"/>
    <n v="20"/>
    <n v="16500"/>
    <m/>
    <m/>
    <m/>
  </r>
  <r>
    <s v="Apr"/>
    <x v="2"/>
    <n v="99000"/>
    <n v="23"/>
    <n v="20000"/>
    <m/>
    <m/>
    <m/>
  </r>
  <r>
    <m/>
    <x v="3"/>
    <m/>
    <m/>
    <m/>
    <m/>
    <m/>
    <m/>
  </r>
  <r>
    <m/>
    <x v="3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Lucknow"/>
    <n v="85000"/>
    <n v="18"/>
    <n v="17000"/>
    <m/>
    <s v="Delhi"/>
    <n v="287000"/>
  </r>
  <r>
    <x v="0"/>
    <s v="Delhi"/>
    <n v="62000"/>
    <n v="15"/>
    <n v="12000"/>
    <m/>
    <s v="Lucknow"/>
    <n v="360000"/>
  </r>
  <r>
    <x v="0"/>
    <s v="Mumbai"/>
    <n v="74000"/>
    <n v="16"/>
    <n v="14500"/>
    <m/>
    <s v="Mumbai"/>
    <n v="349000"/>
  </r>
  <r>
    <x v="1"/>
    <s v="Lucknow"/>
    <n v="92000"/>
    <n v="21"/>
    <n v="19000"/>
    <m/>
    <s v="Grand Total"/>
    <n v="996000"/>
  </r>
  <r>
    <x v="1"/>
    <s v="Delhi"/>
    <n v="68000"/>
    <n v="17"/>
    <n v="13500"/>
    <m/>
    <m/>
    <m/>
  </r>
  <r>
    <x v="1"/>
    <s v="Mumbai"/>
    <n v="81000"/>
    <n v="19"/>
    <n v="16000"/>
    <m/>
    <m/>
    <m/>
  </r>
  <r>
    <x v="2"/>
    <s v="Lucknow"/>
    <n v="78000"/>
    <n v="16"/>
    <n v="15500"/>
    <m/>
    <m/>
    <m/>
  </r>
  <r>
    <x v="2"/>
    <s v="Delhi"/>
    <n v="75000"/>
    <n v="18"/>
    <n v="15000"/>
    <m/>
    <m/>
    <m/>
  </r>
  <r>
    <x v="2"/>
    <s v="Mumbai"/>
    <n v="95000"/>
    <n v="22"/>
    <n v="19000"/>
    <m/>
    <m/>
    <m/>
  </r>
  <r>
    <x v="3"/>
    <s v="Lucknow"/>
    <n v="105000"/>
    <n v="24"/>
    <n v="22000"/>
    <m/>
    <m/>
    <m/>
  </r>
  <r>
    <x v="3"/>
    <s v="Delhi"/>
    <n v="82000"/>
    <n v="20"/>
    <n v="16500"/>
    <m/>
    <m/>
    <m/>
  </r>
  <r>
    <x v="3"/>
    <s v="Mumbai"/>
    <n v="99000"/>
    <n v="23"/>
    <n v="200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758A0-F508-4048-BE29-26397A2D158C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1:B66" firstHeaderRow="1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2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4DDFD-6E6F-45E2-89BB-8D88F2BCA23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0:C55" firstHeaderRow="0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2" fld="2" baseField="0" baseItem="0"/>
    <dataField name="Sum of Profit" fld="4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5488E-24D2-4B10-86BD-6CF996D4DCB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B41" firstHeaderRow="1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2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194B4-3FC4-4C22-BC6F-401B35CF87C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4:E30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formats count="1">
    <format dxfId="0">
      <pivotArea dataOnly="0" labelOnly="1" fieldPosition="0">
        <references count="1">
          <reference field="1" count="1">
            <x v="0"/>
          </reference>
        </references>
      </pivotArea>
    </format>
  </formats>
  <chartFormats count="3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CF271-1D78-431F-820B-A52C2787505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7:B22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78C8A-73C4-437E-9EF1-BBEE612B1F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1:H5" firstHeaderRow="1" firstDataRow="1" firstDataCol="1"/>
  <pivotFields count="5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opLeftCell="A43" workbookViewId="0">
      <selection activeCell="A62" sqref="A62:B65"/>
    </sheetView>
  </sheetViews>
  <sheetFormatPr defaultRowHeight="15" x14ac:dyDescent="0.25"/>
  <cols>
    <col min="1" max="1" width="13.140625" style="3" bestFit="1" customWidth="1"/>
    <col min="2" max="2" width="13.28515625" style="3" bestFit="1" customWidth="1"/>
    <col min="3" max="3" width="12.5703125" style="3" bestFit="1" customWidth="1"/>
    <col min="4" max="4" width="8.42578125" style="3" bestFit="1" customWidth="1"/>
    <col min="5" max="5" width="11.28515625" style="3" bestFit="1" customWidth="1"/>
    <col min="6" max="6" width="9.140625" style="3"/>
    <col min="7" max="7" width="13.140625" style="3" bestFit="1" customWidth="1"/>
    <col min="8" max="8" width="12.140625" style="3" bestFit="1" customWidth="1"/>
    <col min="9" max="16384" width="9.140625" style="3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6" t="s">
        <v>12</v>
      </c>
      <c r="H1" t="s">
        <v>14</v>
      </c>
    </row>
    <row r="2" spans="1:9" x14ac:dyDescent="0.25">
      <c r="A2" s="4" t="s">
        <v>5</v>
      </c>
      <c r="B2" s="4" t="s">
        <v>6</v>
      </c>
      <c r="C2" s="5">
        <v>85000</v>
      </c>
      <c r="D2" s="5">
        <v>18</v>
      </c>
      <c r="E2" s="5">
        <v>17000</v>
      </c>
      <c r="G2" s="7" t="s">
        <v>7</v>
      </c>
      <c r="H2" s="8">
        <v>287000</v>
      </c>
    </row>
    <row r="3" spans="1:9" x14ac:dyDescent="0.25">
      <c r="A3" s="4" t="s">
        <v>5</v>
      </c>
      <c r="B3" s="4" t="s">
        <v>7</v>
      </c>
      <c r="C3" s="5">
        <v>62000</v>
      </c>
      <c r="D3" s="5">
        <v>15</v>
      </c>
      <c r="E3" s="5">
        <v>12000</v>
      </c>
      <c r="G3" s="7" t="s">
        <v>6</v>
      </c>
      <c r="H3" s="8">
        <v>360000</v>
      </c>
      <c r="I3"/>
    </row>
    <row r="4" spans="1:9" x14ac:dyDescent="0.25">
      <c r="A4" s="4" t="s">
        <v>5</v>
      </c>
      <c r="B4" s="4" t="s">
        <v>8</v>
      </c>
      <c r="C4" s="5">
        <v>74000</v>
      </c>
      <c r="D4" s="5">
        <v>16</v>
      </c>
      <c r="E4" s="5">
        <v>14500</v>
      </c>
      <c r="G4" s="7" t="s">
        <v>8</v>
      </c>
      <c r="H4" s="8">
        <v>349000</v>
      </c>
      <c r="I4"/>
    </row>
    <row r="5" spans="1:9" x14ac:dyDescent="0.25">
      <c r="A5" s="4" t="s">
        <v>9</v>
      </c>
      <c r="B5" s="4" t="s">
        <v>6</v>
      </c>
      <c r="C5" s="5">
        <v>92000</v>
      </c>
      <c r="D5" s="5">
        <v>21</v>
      </c>
      <c r="E5" s="5">
        <v>19000</v>
      </c>
      <c r="G5" s="7" t="s">
        <v>13</v>
      </c>
      <c r="H5" s="8">
        <v>996000</v>
      </c>
      <c r="I5"/>
    </row>
    <row r="6" spans="1:9" x14ac:dyDescent="0.25">
      <c r="A6" s="4" t="s">
        <v>9</v>
      </c>
      <c r="B6" s="4" t="s">
        <v>7</v>
      </c>
      <c r="C6" s="5">
        <v>68000</v>
      </c>
      <c r="D6" s="5">
        <v>17</v>
      </c>
      <c r="E6" s="5">
        <v>13500</v>
      </c>
      <c r="I6"/>
    </row>
    <row r="7" spans="1:9" x14ac:dyDescent="0.25">
      <c r="A7" s="4" t="s">
        <v>9</v>
      </c>
      <c r="B7" s="4" t="s">
        <v>8</v>
      </c>
      <c r="C7" s="5">
        <v>81000</v>
      </c>
      <c r="D7" s="5">
        <v>19</v>
      </c>
      <c r="E7" s="5">
        <v>16000</v>
      </c>
      <c r="I7"/>
    </row>
    <row r="8" spans="1:9" x14ac:dyDescent="0.25">
      <c r="A8" s="4" t="s">
        <v>10</v>
      </c>
      <c r="B8" s="4" t="s">
        <v>6</v>
      </c>
      <c r="C8" s="5">
        <v>78000</v>
      </c>
      <c r="D8" s="5">
        <v>16</v>
      </c>
      <c r="E8" s="5">
        <v>15500</v>
      </c>
      <c r="G8"/>
      <c r="H8"/>
      <c r="I8"/>
    </row>
    <row r="9" spans="1:9" x14ac:dyDescent="0.25">
      <c r="A9" s="4" t="s">
        <v>10</v>
      </c>
      <c r="B9" s="4" t="s">
        <v>7</v>
      </c>
      <c r="C9" s="5">
        <v>75000</v>
      </c>
      <c r="D9" s="5">
        <v>18</v>
      </c>
      <c r="E9" s="5">
        <v>15000</v>
      </c>
      <c r="G9"/>
      <c r="H9"/>
      <c r="I9"/>
    </row>
    <row r="10" spans="1:9" x14ac:dyDescent="0.25">
      <c r="A10" s="4" t="s">
        <v>10</v>
      </c>
      <c r="B10" s="4" t="s">
        <v>8</v>
      </c>
      <c r="C10" s="5">
        <v>95000</v>
      </c>
      <c r="D10" s="5">
        <v>22</v>
      </c>
      <c r="E10" s="5">
        <v>19000</v>
      </c>
      <c r="G10"/>
      <c r="H10"/>
      <c r="I10"/>
    </row>
    <row r="11" spans="1:9" x14ac:dyDescent="0.25">
      <c r="A11" s="4" t="s">
        <v>11</v>
      </c>
      <c r="B11" s="4" t="s">
        <v>6</v>
      </c>
      <c r="C11" s="5">
        <v>105000</v>
      </c>
      <c r="D11" s="5">
        <v>24</v>
      </c>
      <c r="E11" s="5">
        <v>22000</v>
      </c>
      <c r="G11"/>
      <c r="H11"/>
      <c r="I11"/>
    </row>
    <row r="12" spans="1:9" x14ac:dyDescent="0.25">
      <c r="A12" s="4" t="s">
        <v>11</v>
      </c>
      <c r="B12" s="4" t="s">
        <v>7</v>
      </c>
      <c r="C12" s="5">
        <v>82000</v>
      </c>
      <c r="D12" s="5">
        <v>20</v>
      </c>
      <c r="E12" s="5">
        <v>16500</v>
      </c>
      <c r="G12"/>
      <c r="H12"/>
      <c r="I12"/>
    </row>
    <row r="13" spans="1:9" x14ac:dyDescent="0.25">
      <c r="A13" s="4" t="s">
        <v>11</v>
      </c>
      <c r="B13" s="4" t="s">
        <v>8</v>
      </c>
      <c r="C13" s="5">
        <v>99000</v>
      </c>
      <c r="D13" s="5">
        <v>23</v>
      </c>
      <c r="E13" s="5">
        <v>20000</v>
      </c>
      <c r="G13"/>
      <c r="H13"/>
      <c r="I13"/>
    </row>
    <row r="14" spans="1:9" x14ac:dyDescent="0.25">
      <c r="G14"/>
      <c r="H14"/>
      <c r="I14"/>
    </row>
    <row r="15" spans="1:9" x14ac:dyDescent="0.25">
      <c r="G15"/>
      <c r="H15"/>
      <c r="I15"/>
    </row>
    <row r="16" spans="1:9" x14ac:dyDescent="0.25">
      <c r="G16"/>
      <c r="H16"/>
      <c r="I16"/>
    </row>
    <row r="17" spans="1:9" x14ac:dyDescent="0.25">
      <c r="A17" s="6" t="s">
        <v>12</v>
      </c>
      <c r="B17" t="s">
        <v>14</v>
      </c>
      <c r="C17"/>
      <c r="G17"/>
      <c r="H17"/>
      <c r="I17"/>
    </row>
    <row r="18" spans="1:9" x14ac:dyDescent="0.25">
      <c r="A18" s="7" t="s">
        <v>5</v>
      </c>
      <c r="B18" s="8">
        <v>221000</v>
      </c>
      <c r="C18"/>
      <c r="G18"/>
      <c r="H18"/>
      <c r="I18"/>
    </row>
    <row r="19" spans="1:9" x14ac:dyDescent="0.25">
      <c r="A19" s="7" t="s">
        <v>9</v>
      </c>
      <c r="B19" s="8">
        <v>241000</v>
      </c>
      <c r="C19"/>
      <c r="G19"/>
      <c r="H19"/>
      <c r="I19"/>
    </row>
    <row r="20" spans="1:9" x14ac:dyDescent="0.25">
      <c r="A20" s="7" t="s">
        <v>10</v>
      </c>
      <c r="B20" s="8">
        <v>248000</v>
      </c>
      <c r="C20"/>
      <c r="G20"/>
      <c r="H20"/>
      <c r="I20"/>
    </row>
    <row r="21" spans="1:9" x14ac:dyDescent="0.25">
      <c r="A21" s="7" t="s">
        <v>11</v>
      </c>
      <c r="B21" s="8">
        <v>286000</v>
      </c>
      <c r="C21"/>
    </row>
    <row r="22" spans="1:9" x14ac:dyDescent="0.25">
      <c r="A22" s="7" t="s">
        <v>13</v>
      </c>
      <c r="B22" s="8">
        <v>996000</v>
      </c>
      <c r="C22"/>
    </row>
    <row r="23" spans="1:9" x14ac:dyDescent="0.25">
      <c r="A23"/>
      <c r="B23"/>
      <c r="C23"/>
    </row>
    <row r="24" spans="1:9" x14ac:dyDescent="0.25">
      <c r="A24" s="6" t="s">
        <v>14</v>
      </c>
      <c r="B24" s="6" t="s">
        <v>15</v>
      </c>
      <c r="C24"/>
      <c r="D24"/>
      <c r="E24"/>
    </row>
    <row r="25" spans="1:9" x14ac:dyDescent="0.25">
      <c r="A25" s="6" t="s">
        <v>12</v>
      </c>
      <c r="B25" s="9" t="s">
        <v>7</v>
      </c>
      <c r="C25" t="s">
        <v>6</v>
      </c>
      <c r="D25" t="s">
        <v>8</v>
      </c>
      <c r="E25" t="s">
        <v>13</v>
      </c>
    </row>
    <row r="26" spans="1:9" x14ac:dyDescent="0.25">
      <c r="A26" s="7" t="s">
        <v>5</v>
      </c>
      <c r="B26" s="8">
        <v>62000</v>
      </c>
      <c r="C26" s="8">
        <v>85000</v>
      </c>
      <c r="D26" s="8">
        <v>74000</v>
      </c>
      <c r="E26" s="8">
        <v>221000</v>
      </c>
    </row>
    <row r="27" spans="1:9" x14ac:dyDescent="0.25">
      <c r="A27" s="7" t="s">
        <v>9</v>
      </c>
      <c r="B27" s="8">
        <v>68000</v>
      </c>
      <c r="C27" s="8">
        <v>92000</v>
      </c>
      <c r="D27" s="8">
        <v>81000</v>
      </c>
      <c r="E27" s="8">
        <v>241000</v>
      </c>
    </row>
    <row r="28" spans="1:9" x14ac:dyDescent="0.25">
      <c r="A28" s="7" t="s">
        <v>10</v>
      </c>
      <c r="B28" s="8">
        <v>75000</v>
      </c>
      <c r="C28" s="8">
        <v>78000</v>
      </c>
      <c r="D28" s="8">
        <v>95000</v>
      </c>
      <c r="E28" s="8">
        <v>248000</v>
      </c>
    </row>
    <row r="29" spans="1:9" x14ac:dyDescent="0.25">
      <c r="A29" s="7" t="s">
        <v>11</v>
      </c>
      <c r="B29" s="8">
        <v>82000</v>
      </c>
      <c r="C29" s="8">
        <v>105000</v>
      </c>
      <c r="D29" s="8">
        <v>99000</v>
      </c>
      <c r="E29" s="8">
        <v>286000</v>
      </c>
    </row>
    <row r="30" spans="1:9" x14ac:dyDescent="0.25">
      <c r="A30" s="7" t="s">
        <v>13</v>
      </c>
      <c r="B30" s="8">
        <v>287000</v>
      </c>
      <c r="C30" s="8">
        <v>360000</v>
      </c>
      <c r="D30" s="8">
        <v>349000</v>
      </c>
      <c r="E30" s="8">
        <v>996000</v>
      </c>
    </row>
    <row r="31" spans="1:9" x14ac:dyDescent="0.25">
      <c r="A31"/>
      <c r="B31"/>
      <c r="C31"/>
    </row>
    <row r="32" spans="1:9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 s="6" t="s">
        <v>12</v>
      </c>
      <c r="B36" t="s">
        <v>17</v>
      </c>
      <c r="C36"/>
    </row>
    <row r="37" spans="1:3" x14ac:dyDescent="0.25">
      <c r="A37" s="7" t="s">
        <v>7</v>
      </c>
      <c r="B37" s="8">
        <v>287000</v>
      </c>
      <c r="C37"/>
    </row>
    <row r="38" spans="1:3" x14ac:dyDescent="0.25">
      <c r="A38" s="7" t="s">
        <v>6</v>
      </c>
      <c r="B38" s="8">
        <v>360000</v>
      </c>
      <c r="C38"/>
    </row>
    <row r="39" spans="1:3" x14ac:dyDescent="0.25">
      <c r="A39" s="7" t="s">
        <v>8</v>
      </c>
      <c r="B39" s="8">
        <v>349000</v>
      </c>
      <c r="C39"/>
    </row>
    <row r="40" spans="1:3" x14ac:dyDescent="0.25">
      <c r="A40" s="7" t="s">
        <v>16</v>
      </c>
      <c r="B40" s="8"/>
      <c r="C40"/>
    </row>
    <row r="41" spans="1:3" x14ac:dyDescent="0.25">
      <c r="A41" s="7" t="s">
        <v>13</v>
      </c>
      <c r="B41" s="8">
        <v>996000</v>
      </c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  <row r="48" spans="1:3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 s="6" t="s">
        <v>12</v>
      </c>
      <c r="B50" t="s">
        <v>17</v>
      </c>
      <c r="C50" t="s">
        <v>18</v>
      </c>
    </row>
    <row r="51" spans="1:3" x14ac:dyDescent="0.25">
      <c r="A51" s="7" t="s">
        <v>7</v>
      </c>
      <c r="B51" s="8">
        <v>287000</v>
      </c>
      <c r="C51" s="8">
        <v>57000</v>
      </c>
    </row>
    <row r="52" spans="1:3" x14ac:dyDescent="0.25">
      <c r="A52" s="7" t="s">
        <v>6</v>
      </c>
      <c r="B52" s="8">
        <v>360000</v>
      </c>
      <c r="C52" s="8">
        <v>73500</v>
      </c>
    </row>
    <row r="53" spans="1:3" x14ac:dyDescent="0.25">
      <c r="A53" s="7" t="s">
        <v>8</v>
      </c>
      <c r="B53" s="8">
        <v>349000</v>
      </c>
      <c r="C53" s="8">
        <v>69500</v>
      </c>
    </row>
    <row r="54" spans="1:3" x14ac:dyDescent="0.25">
      <c r="A54" s="7" t="s">
        <v>16</v>
      </c>
      <c r="B54" s="8"/>
      <c r="C54" s="8"/>
    </row>
    <row r="55" spans="1:3" x14ac:dyDescent="0.25">
      <c r="A55" s="7" t="s">
        <v>13</v>
      </c>
      <c r="B55" s="8">
        <v>996000</v>
      </c>
      <c r="C55" s="8">
        <v>200000</v>
      </c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 s="6" t="s">
        <v>12</v>
      </c>
      <c r="B61" t="s">
        <v>17</v>
      </c>
      <c r="C61"/>
    </row>
    <row r="62" spans="1:3" x14ac:dyDescent="0.25">
      <c r="A62" s="7" t="s">
        <v>5</v>
      </c>
      <c r="B62" s="8">
        <v>221000</v>
      </c>
      <c r="C62"/>
    </row>
    <row r="63" spans="1:3" x14ac:dyDescent="0.25">
      <c r="A63" s="7" t="s">
        <v>9</v>
      </c>
      <c r="B63" s="8">
        <v>241000</v>
      </c>
      <c r="C63"/>
    </row>
    <row r="64" spans="1:3" x14ac:dyDescent="0.25">
      <c r="A64" s="7" t="s">
        <v>10</v>
      </c>
      <c r="B64" s="8">
        <v>248000</v>
      </c>
      <c r="C64"/>
    </row>
    <row r="65" spans="1:3" x14ac:dyDescent="0.25">
      <c r="A65" s="7" t="s">
        <v>11</v>
      </c>
      <c r="B65" s="8">
        <v>286000</v>
      </c>
      <c r="C65"/>
    </row>
    <row r="66" spans="1:3" x14ac:dyDescent="0.25">
      <c r="A66" s="7" t="s">
        <v>13</v>
      </c>
      <c r="B66" s="8">
        <v>996000</v>
      </c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889A-6BA0-4A9D-8E8D-E1A3CA6C652A}">
  <dimension ref="A1:C3"/>
  <sheetViews>
    <sheetView workbookViewId="0">
      <selection activeCell="O12" sqref="O12"/>
    </sheetView>
  </sheetViews>
  <sheetFormatPr defaultRowHeight="15" x14ac:dyDescent="0.25"/>
  <sheetData>
    <row r="1" spans="1:3" x14ac:dyDescent="0.25">
      <c r="A1" t="s">
        <v>19</v>
      </c>
    </row>
    <row r="3" spans="1:3" x14ac:dyDescent="0.25">
      <c r="A3">
        <f>SUM(Sales_Data!$C$2:$C$13)</f>
        <v>996000</v>
      </c>
      <c r="B3">
        <f>SUM(Sales_Data!$E$2:$E$13)</f>
        <v>200000</v>
      </c>
      <c r="C3">
        <f>COUNTA(Sales_Data!$A$2:$A$13)</f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550B-D456-4043-B4E2-E4A412759CB0}">
  <dimension ref="A1:A69"/>
  <sheetViews>
    <sheetView tabSelected="1" workbookViewId="0">
      <selection activeCell="M10" sqref="M10"/>
    </sheetView>
  </sheetViews>
  <sheetFormatPr defaultRowHeight="15" x14ac:dyDescent="0.25"/>
  <sheetData>
    <row r="1" spans="1:1" x14ac:dyDescent="0.25">
      <c r="A1" t="s">
        <v>20</v>
      </c>
    </row>
    <row r="3" spans="1:1" x14ac:dyDescent="0.25">
      <c r="A3" t="s">
        <v>21</v>
      </c>
    </row>
    <row r="5" spans="1:1" x14ac:dyDescent="0.25">
      <c r="A5" t="e" cm="1">
        <f t="array" ref="A5">- Column Charts</f>
        <v>#NAME?</v>
      </c>
    </row>
    <row r="6" spans="1:1" x14ac:dyDescent="0.25">
      <c r="A6" t="e" cm="1">
        <f t="array" ref="A6">- Bar Charts</f>
        <v>#NAME?</v>
      </c>
    </row>
    <row r="7" spans="1:1" x14ac:dyDescent="0.25">
      <c r="A7" t="e" cm="1">
        <f t="array" ref="A7">- Line Charts</f>
        <v>#NAME?</v>
      </c>
    </row>
    <row r="8" spans="1:1" x14ac:dyDescent="0.25">
      <c r="A8" t="e" cm="1">
        <f t="array" ref="A8">- Pie Charts</f>
        <v>#NAME?</v>
      </c>
    </row>
    <row r="9" spans="1:1" x14ac:dyDescent="0.25">
      <c r="A9" t="e" cm="1">
        <f t="array" ref="A9">- Clustered Column Charts</f>
        <v>#NAME?</v>
      </c>
    </row>
    <row r="10" spans="1:1" x14ac:dyDescent="0.25">
      <c r="A10" t="e" cm="1">
        <f t="array" ref="A10">- Multi-Series Charts</f>
        <v>#NAME?</v>
      </c>
    </row>
    <row r="11" spans="1:1" x14ac:dyDescent="0.25">
      <c r="A11" t="e" cm="1">
        <f t="array" ref="A11">- Data Visualization</f>
        <v>#NAME?</v>
      </c>
    </row>
    <row r="12" spans="1:1" x14ac:dyDescent="0.25">
      <c r="A12" t="e" cm="1">
        <f t="array" ref="A12">- Chart Selection</f>
        <v>#NAME?</v>
      </c>
    </row>
    <row r="13" spans="1:1" x14ac:dyDescent="0.25">
      <c r="A13" t="e" cm="1">
        <f t="array" ref="A13">- Dashboard Design</f>
        <v>#NAME?</v>
      </c>
    </row>
    <row r="14" spans="1:1" x14ac:dyDescent="0.25">
      <c r="A14" t="e" cm="1">
        <f t="array" ref="A14">- Business Insights</f>
        <v>#NAME?</v>
      </c>
    </row>
    <row r="16" spans="1:1" x14ac:dyDescent="0.25">
      <c r="A16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2" spans="1:1" x14ac:dyDescent="0.25">
      <c r="A22" t="s">
        <v>26</v>
      </c>
    </row>
    <row r="24" spans="1:1" x14ac:dyDescent="0.25">
      <c r="A24" t="e" cm="1">
        <f t="array" ref="A24">- Sales by City</f>
        <v>#NAME?</v>
      </c>
    </row>
    <row r="25" spans="1:1" x14ac:dyDescent="0.25">
      <c r="A25" t="e" cm="1">
        <f t="array" ref="A25">- Monthly Sales Trend</f>
        <v>#NAME?</v>
      </c>
    </row>
    <row r="26" spans="1:1" x14ac:dyDescent="0.25">
      <c r="A26" t="e" cm="1">
        <f t="array" ref="A26">- City-wise Sales &amp; Profit</f>
        <v>#NAME?</v>
      </c>
    </row>
    <row r="27" spans="1:1" x14ac:dyDescent="0.25">
      <c r="A27" t="e" cm="1">
        <f t="array" ref="A27">- Sales Contribution by City</f>
        <v>#NAME?</v>
      </c>
    </row>
    <row r="28" spans="1:1" x14ac:dyDescent="0.25">
      <c r="A28" t="e" cm="1">
        <f t="array" ref="A28">- KPI Summary</f>
        <v>#NAME?</v>
      </c>
    </row>
    <row r="29" spans="1:1" x14ac:dyDescent="0.25">
      <c r="A29" t="e" cm="1">
        <f t="array" ref="A29">- Dashboard</f>
        <v>#NAME?</v>
      </c>
    </row>
    <row r="31" spans="1:1" x14ac:dyDescent="0.25">
      <c r="A31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40" spans="1:1" x14ac:dyDescent="0.25">
      <c r="A40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  <row r="49" spans="1:1" x14ac:dyDescent="0.25">
      <c r="A49" t="s">
        <v>39</v>
      </c>
    </row>
    <row r="51" spans="1:1" x14ac:dyDescent="0.25">
      <c r="A51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8" spans="1:1" x14ac:dyDescent="0.25">
      <c r="A58" t="s">
        <v>45</v>
      </c>
    </row>
    <row r="59" spans="1:1" x14ac:dyDescent="0.25">
      <c r="A59" t="s">
        <v>46</v>
      </c>
    </row>
    <row r="60" spans="1:1" x14ac:dyDescent="0.25">
      <c r="A60" t="s">
        <v>47</v>
      </c>
    </row>
    <row r="61" spans="1:1" x14ac:dyDescent="0.25">
      <c r="A61" t="s">
        <v>48</v>
      </c>
    </row>
    <row r="63" spans="1:1" x14ac:dyDescent="0.25">
      <c r="A63" t="s">
        <v>49</v>
      </c>
    </row>
    <row r="65" spans="1:1" x14ac:dyDescent="0.25">
      <c r="A65" t="s">
        <v>50</v>
      </c>
    </row>
    <row r="67" spans="1:1" x14ac:dyDescent="0.25">
      <c r="A67" t="s">
        <v>51</v>
      </c>
    </row>
    <row r="69" spans="1:1" x14ac:dyDescent="0.25">
      <c r="A6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Dashboard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2026-09-23T13:33:04Z</dcterms:modified>
</cp:coreProperties>
</file>