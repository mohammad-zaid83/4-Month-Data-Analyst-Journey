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D:\4_MONTH\4-Month-Data-Analyst-Journey\Month-01-Excel\Week-04\Day-06\"/>
    </mc:Choice>
  </mc:AlternateContent>
  <xr:revisionPtr revIDLastSave="0" documentId="13_ncr:1_{88D54B2E-094A-4E52-8D76-FC6840FA07E0}" xr6:coauthVersionLast="47" xr6:coauthVersionMax="47" xr10:uidLastSave="{00000000-0000-0000-0000-000000000000}"/>
  <bookViews>
    <workbookView xWindow="-120" yWindow="-120" windowWidth="20730" windowHeight="11040" activeTab="3" xr2:uid="{00000000-000D-0000-FFFF-FFFF00000000}"/>
  </bookViews>
  <sheets>
    <sheet name="Sales" sheetId="1" r:id="rId1"/>
    <sheet name="Summary" sheetId="4" r:id="rId2"/>
    <sheet name="Dashboard" sheetId="2" r:id="rId3"/>
    <sheet name="Notes" sheetId="3" r:id="rId4"/>
  </sheets>
  <definedNames>
    <definedName name="Slicer_Category">#N/A</definedName>
    <definedName name="Slicer_City">#N/A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3" l="1" a="1"/>
  <c r="A15" i="3" a="1"/>
  <c r="A16" i="3" a="1"/>
  <c r="A17" i="3" a="1"/>
  <c r="B4" i="4"/>
  <c r="B3" i="4"/>
  <c r="B2" i="4"/>
  <c r="B1"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<sst xmlns="http://schemas.openxmlformats.org/spreadsheetml/2006/main" count="164" uniqueCount="90">
  <si>
    <t>Order_ID</t>
  </si>
  <si>
    <t>Month</t>
  </si>
  <si>
    <t>City</t>
  </si>
  <si>
    <t>Category</t>
  </si>
  <si>
    <t>Employee</t>
  </si>
  <si>
    <t>Sales</t>
  </si>
  <si>
    <t>Profit</t>
  </si>
  <si>
    <t>O001</t>
  </si>
  <si>
    <t>Jan</t>
  </si>
  <si>
    <t>Lucknow</t>
  </si>
  <si>
    <t>Electronics</t>
  </si>
  <si>
    <t>Rahul</t>
  </si>
  <si>
    <t>O002</t>
  </si>
  <si>
    <t>Delhi</t>
  </si>
  <si>
    <t>Clothing</t>
  </si>
  <si>
    <t>Priya</t>
  </si>
  <si>
    <t>O003</t>
  </si>
  <si>
    <t>Mumbai</t>
  </si>
  <si>
    <t>Furniture</t>
  </si>
  <si>
    <t>Arman</t>
  </si>
  <si>
    <t>O004</t>
  </si>
  <si>
    <t>Feb</t>
  </si>
  <si>
    <t>O005</t>
  </si>
  <si>
    <t>Hamza</t>
  </si>
  <si>
    <t>O006</t>
  </si>
  <si>
    <t>Sara</t>
  </si>
  <si>
    <t>O007</t>
  </si>
  <si>
    <t>Mar</t>
  </si>
  <si>
    <t>O008</t>
  </si>
  <si>
    <t>O009</t>
  </si>
  <si>
    <t>O010</t>
  </si>
  <si>
    <t>Apr</t>
  </si>
  <si>
    <t>O011</t>
  </si>
  <si>
    <t>O012</t>
  </si>
  <si>
    <t>Total Profit</t>
  </si>
  <si>
    <t>Total Order</t>
  </si>
  <si>
    <t>Average Sale</t>
  </si>
  <si>
    <t>total Sales</t>
  </si>
  <si>
    <t>Row Labels</t>
  </si>
  <si>
    <t>Grand Total</t>
  </si>
  <si>
    <t>Sum of Sales</t>
  </si>
  <si>
    <t>Column Labels</t>
  </si>
  <si>
    <t>SALES PERFORMANCE DASHBOARD</t>
  </si>
  <si>
    <t>Insight 1:</t>
  </si>
  <si>
    <t>Insight 2:</t>
  </si>
  <si>
    <t>Insight 3:</t>
  </si>
  <si>
    <t>Highest sale city is Lucknow</t>
  </si>
  <si>
    <t>Highest sale category Electronics</t>
  </si>
  <si>
    <t>WEEK 04 — DAY 06</t>
  </si>
  <si>
    <t>EXCEL DASHBOARD &amp; INTERACTIVE ANALYSIS</t>
  </si>
  <si>
    <t>Dashboard:</t>
  </si>
  <si>
    <t>A visual report that presents important KPIs,</t>
  </si>
  <si>
    <t>charts and insights in one place.</t>
  </si>
  <si>
    <t>KEY COMPONENTS:</t>
  </si>
  <si>
    <t>KPI</t>
  </si>
  <si>
    <t>→ Important business metrics shown at a glance.</t>
  </si>
  <si>
    <t>Examples:</t>
  </si>
  <si>
    <t>PIVOTTABLE</t>
  </si>
  <si>
    <t>→ Used to summarize and aggregate data.</t>
  </si>
  <si>
    <t>PIVOTCHART</t>
  </si>
  <si>
    <t>→ Used to visualize summarized data.</t>
  </si>
  <si>
    <t>SLICER</t>
  </si>
  <si>
    <t>→ Provides an interactive way to filter data.</t>
  </si>
  <si>
    <t>BUSINESS INSIGHTS</t>
  </si>
  <si>
    <t>→ Convert numbers into meaningful observations.</t>
  </si>
  <si>
    <t>DASHBOARD WORKFLOW:</t>
  </si>
  <si>
    <t>Raw Data</t>
  </si>
  <si>
    <t>↓</t>
  </si>
  <si>
    <t>Summary / PivotTable</t>
  </si>
  <si>
    <t>Charts</t>
  </si>
  <si>
    <t>Filters / Slicers</t>
  </si>
  <si>
    <t>Business Insights</t>
  </si>
  <si>
    <t>Dashboard</t>
  </si>
  <si>
    <t>KEY PRINCIPLE:</t>
  </si>
  <si>
    <t>A dashboard should not only look good.</t>
  </si>
  <si>
    <t>It should help a user understand important</t>
  </si>
  <si>
    <t>business information quickly.</t>
  </si>
  <si>
    <t>TODAY'S PRACTICE:</t>
  </si>
  <si>
    <t>✓ KPI Cards</t>
  </si>
  <si>
    <t>✓ Total Sales</t>
  </si>
  <si>
    <t>✓ Total Profit</t>
  </si>
  <si>
    <t>✓ Total Orders</t>
  </si>
  <si>
    <t>✓ Average Sales</t>
  </si>
  <si>
    <t>✓ City-wise Sales</t>
  </si>
  <si>
    <t>✓ Monthly Sales Trend</t>
  </si>
  <si>
    <t>✓ Category Performance</t>
  </si>
  <si>
    <t>✓ Slicers</t>
  </si>
  <si>
    <t>✓ Business Insights</t>
  </si>
  <si>
    <t>✓ Interactive Dashboard</t>
  </si>
  <si>
    <t>Status: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</si>
</sst>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3" formatCode="[$₹-439]#,##0"/>
    <numFmt numFmtId="179" formatCode="[$₹-4009]\ #,##0"/>
  </numFmts>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0" fillId="0" borderId="0" xfId="0" applyAlignment="1"/>
    <xf numFmtId="0" fontId="0" fillId="0" borderId="1" xfId="0" applyBorder="1" applyAlignment="1">
      <alignment vertical="center"/>
    </xf>
    <xf numFmtId="0" fontId="0" fillId="0" borderId="1" xfId="0" applyBorder="1" applyAlignment="1">
      <alignment horizontal="right" vertical="center"/>
    </xf>
    <xf numFmtId="0" fontId="0" fillId="0" borderId="2" xfId="0" applyBorder="1" applyAlignment="1">
      <alignment vertical="center"/>
    </xf>
    <xf numFmtId="0" fontId="0" fillId="0" borderId="3" xfId="0" applyBorder="1" applyAlignment="1">
      <alignment horizontal="righ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right" vertical="center"/>
    </xf>
    <xf numFmtId="0" fontId="1" fillId="2" borderId="6" xfId="0" applyFont="1" applyFill="1" applyBorder="1" applyAlignment="1">
      <alignment horizontal="right" vertical="center"/>
    </xf>
    <xf numFmtId="0" fontId="0" fillId="0" borderId="7" xfId="0" applyBorder="1" applyAlignment="1">
      <alignment vertical="center"/>
    </xf>
    <xf numFmtId="0" fontId="0" fillId="0" borderId="8" xfId="0" applyBorder="1" applyAlignment="1">
      <alignment vertical="center"/>
    </xf>
    <xf numFmtId="0" fontId="0" fillId="0" borderId="8" xfId="0" applyBorder="1" applyAlignment="1">
      <alignment horizontal="right" vertical="center"/>
    </xf>
    <xf numFmtId="0" fontId="0" fillId="0" borderId="9" xfId="0" applyBorder="1" applyAlignment="1">
      <alignment horizontal="right" vertical="center"/>
    </xf>
    <xf numFmtId="0" fontId="1" fillId="2" borderId="1" xfId="0" applyFont="1" applyFill="1" applyBorder="1"/>
    <xf numFmtId="0" fontId="0" fillId="0" borderId="1" xfId="0" applyBorder="1"/>
    <xf numFmtId="173" fontId="0" fillId="0" borderId="1" xfId="0" applyNumberFormat="1" applyBorder="1"/>
    <xf numFmtId="179" fontId="0" fillId="0" borderId="1" xfId="0" applyNumberFormat="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2" fillId="0" borderId="0" xfId="0" applyFont="1" applyFill="1" applyAlignment="1">
      <alignment horizontal="center" vertical="center"/>
    </xf>
    <xf numFmtId="0" fontId="0" fillId="3" borderId="0" xfId="0" applyFill="1"/>
  </cellXfs>
  <cellStyles count="1">
    <cellStyle name="Normal" xfId="0" builtinId="0"/>
  </cellStyles>
  <dxfs count="12">
    <dxf>
      <font>
        <b/>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[W4-D6-Interactive-Dashboard.xlsx]Summary!PivotTable1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Summary!$B$6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Summary!$A$7:$A$10</c:f>
              <c:strCache>
                <c:ptCount val="3"/>
                <c:pt idx="0">
                  <c:v>Delhi</c:v>
                </c:pt>
                <c:pt idx="1">
                  <c:v>Lucknow</c:v>
                </c:pt>
                <c:pt idx="2">
                  <c:v>Mumbai</c:v>
                </c:pt>
              </c:strCache>
            </c:strRef>
          </c:cat>
          <c:val>
            <c:numRef>
              <c:f>Summary!$B$7:$B$10</c:f>
              <c:numCache>
                <c:formatCode>General</c:formatCode>
                <c:ptCount val="3"/>
                <c:pt idx="0">
                  <c:v>287000</c:v>
                </c:pt>
                <c:pt idx="1">
                  <c:v>360000</c:v>
                </c:pt>
                <c:pt idx="2">
                  <c:v>349000</c:v>
                </c:pt>
              </c:numCache>
            </c:numRef>
          </c:val>
          <c:extLst>
            <c:ext xmlns:c16="http://schemas.microsoft.com/office/drawing/2014/chart" uri="{C3380CC4-5D6E-409C-BE32-E72D297353CC}">
              <c16:uniqueId val="{00000000-C363-4350-8382-5D2A57FAF5A0}"/>
            </c:ext>
          </c:extLst>
        </c:ser>
        <c:dLbls>
          <c:showLegendKey val="0"/>
          <c:showVal val="1"/>
          <c:showCatName val="0"/>
          <c:showSerName val="0"/>
          <c:showPercent val="0"/>
          <c:showBubbleSize val="0"/>
        </c:dLbls>
        <c:gapWidth val="79"/>
        <c:shape val="box"/>
        <c:axId val="647995103"/>
        <c:axId val="604983215"/>
        <c:axId val="0"/>
      </c:bar3DChart>
      <c:catAx>
        <c:axId val="64799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4983215"/>
        <c:crosses val="autoZero"/>
        <c:auto val="1"/>
        <c:lblAlgn val="ctr"/>
        <c:lblOffset val="100"/>
        <c:noMultiLvlLbl val="0"/>
      </c:catAx>
      <c:valAx>
        <c:axId val="604983215"/>
        <c:scaling>
          <c:orientation val="minMax"/>
        </c:scaling>
        <c:delete val="1"/>
        <c:axPos val="l"/>
        <c:numFmt formatCode="General" sourceLinked="1"/>
        <c:majorTickMark val="none"/>
        <c:minorTickMark val="none"/>
        <c:tickLblPos val="nextTo"/>
        <c:crossAx val="64799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[W4-D6-Interactive-Dashboard.xlsx]Summary!PivotTable2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Summary!$B$12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Summary!$A$13:$A$17</c:f>
              <c:strCache>
                <c:ptCount val="4"/>
                <c:pt idx="0">
                  <c:v>Jan</c:v>
                </c:pt>
                <c:pt idx="1">
                  <c:v>Feb</c:v>
                </c:pt>
                <c:pt idx="2">
                  <c:v>Mar</c:v>
                </c:pt>
                <c:pt idx="3">
                  <c:v>Apr</c:v>
                </c:pt>
              </c:strCache>
            </c:strRef>
          </c:cat>
          <c:val>
            <c:numRef>
              <c:f>Summary!$B$13:$B$17</c:f>
              <c:numCache>
                <c:formatCode>General</c:formatCode>
                <c:ptCount val="4"/>
                <c:pt idx="0">
                  <c:v>221000</c:v>
                </c:pt>
                <c:pt idx="1">
                  <c:v>241000</c:v>
                </c:pt>
                <c:pt idx="2">
                  <c:v>248000</c:v>
                </c:pt>
                <c:pt idx="3">
                  <c:v>286000</c:v>
                </c:pt>
              </c:numCache>
            </c:numRef>
          </c:val>
          <c:extLst>
            <c:ext xmlns:c16="http://schemas.microsoft.com/office/drawing/2014/chart" uri="{C3380CC4-5D6E-409C-BE32-E72D297353CC}">
              <c16:uniqueId val="{00000000-25E8-4201-AC16-32632EA57122}"/>
            </c:ext>
          </c:extLst>
        </c:ser>
        <c:dLbls>
          <c:showLegendKey val="0"/>
          <c:showVal val="1"/>
          <c:showCatName val="0"/>
          <c:showSerName val="0"/>
          <c:showPercent val="0"/>
          <c:showBubbleSize val="0"/>
        </c:dLbls>
        <c:gapWidth val="79"/>
        <c:shape val="box"/>
        <c:axId val="646302527"/>
        <c:axId val="604969295"/>
        <c:axId val="0"/>
      </c:bar3DChart>
      <c:catAx>
        <c:axId val="6463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4969295"/>
        <c:crosses val="autoZero"/>
        <c:auto val="1"/>
        <c:lblAlgn val="ctr"/>
        <c:lblOffset val="100"/>
        <c:noMultiLvlLbl val="0"/>
      </c:catAx>
      <c:valAx>
        <c:axId val="604969295"/>
        <c:scaling>
          <c:orientation val="minMax"/>
        </c:scaling>
        <c:delete val="1"/>
        <c:axPos val="b"/>
        <c:numFmt formatCode="General" sourceLinked="1"/>
        <c:majorTickMark val="none"/>
        <c:minorTickMark val="none"/>
        <c:tickLblPos val="nextTo"/>
        <c:crossAx val="64630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[W4-D6-Interactive-Dashboard.xlsx]Summary!PivotTable3</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39132863494124E-2"/>
          <c:y val="0.14249781277340332"/>
          <c:w val="0.78830743095888522"/>
          <c:h val="0.65853091280256637"/>
        </c:manualLayout>
      </c:layout>
      <c:barChart>
        <c:barDir val="col"/>
        <c:grouping val="clustered"/>
        <c:varyColors val="0"/>
        <c:ser>
          <c:idx val="0"/>
          <c:order val="0"/>
          <c:tx>
            <c:strRef>
              <c:f>Summary!$E$6:$E$7</c:f>
              <c:strCache>
                <c:ptCount val="1"/>
                <c:pt idx="0">
                  <c:v>Delhi</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Summary!$D$8:$D$11</c:f>
              <c:strCache>
                <c:ptCount val="3"/>
                <c:pt idx="0">
                  <c:v>Clothing</c:v>
                </c:pt>
                <c:pt idx="1">
                  <c:v>Electronics</c:v>
                </c:pt>
                <c:pt idx="2">
                  <c:v>Furniture</c:v>
                </c:pt>
              </c:strCache>
            </c:strRef>
          </c:cat>
          <c:val>
            <c:numRef>
              <c:f>Summary!$E$8:$E$11</c:f>
              <c:numCache>
                <c:formatCode>General</c:formatCode>
                <c:ptCount val="3"/>
                <c:pt idx="0">
                  <c:v>130000</c:v>
                </c:pt>
                <c:pt idx="1">
                  <c:v>75000</c:v>
                </c:pt>
                <c:pt idx="2">
                  <c:v>82000</c:v>
                </c:pt>
              </c:numCache>
            </c:numRef>
          </c:val>
          <c:extLst>
            <c:ext xmlns:c16="http://schemas.microsoft.com/office/drawing/2014/chart" uri="{C3380CC4-5D6E-409C-BE32-E72D297353CC}">
              <c16:uniqueId val="{00000000-C176-4803-BB2D-01821E88A1A1}"/>
            </c:ext>
          </c:extLst>
        </c:ser>
        <c:ser>
          <c:idx val="1"/>
          <c:order val="1"/>
          <c:tx>
            <c:strRef>
              <c:f>Summary!$F$6:$F$7</c:f>
              <c:strCache>
                <c:ptCount val="1"/>
                <c:pt idx="0">
                  <c:v>Lucknow</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Summary!$D$8:$D$11</c:f>
              <c:strCache>
                <c:ptCount val="3"/>
                <c:pt idx="0">
                  <c:v>Clothing</c:v>
                </c:pt>
                <c:pt idx="1">
                  <c:v>Electronics</c:v>
                </c:pt>
                <c:pt idx="2">
                  <c:v>Furniture</c:v>
                </c:pt>
              </c:strCache>
            </c:strRef>
          </c:cat>
          <c:val>
            <c:numRef>
              <c:f>Summary!$F$8:$F$11</c:f>
              <c:numCache>
                <c:formatCode>General</c:formatCode>
                <c:ptCount val="3"/>
                <c:pt idx="1">
                  <c:v>282000</c:v>
                </c:pt>
                <c:pt idx="2">
                  <c:v>78000</c:v>
                </c:pt>
              </c:numCache>
            </c:numRef>
          </c:val>
          <c:extLst>
            <c:ext xmlns:c16="http://schemas.microsoft.com/office/drawing/2014/chart" uri="{C3380CC4-5D6E-409C-BE32-E72D297353CC}">
              <c16:uniqueId val="{00000001-C176-4803-BB2D-01821E88A1A1}"/>
            </c:ext>
          </c:extLst>
        </c:ser>
        <c:ser>
          <c:idx val="2"/>
          <c:order val="2"/>
          <c:tx>
            <c:strRef>
              <c:f>Summary!$G$6:$G$7</c:f>
              <c:strCache>
                <c:ptCount val="1"/>
                <c:pt idx="0">
                  <c:v>Mumbai</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Summary!$D$8:$D$11</c:f>
              <c:strCache>
                <c:ptCount val="3"/>
                <c:pt idx="0">
                  <c:v>Clothing</c:v>
                </c:pt>
                <c:pt idx="1">
                  <c:v>Electronics</c:v>
                </c:pt>
                <c:pt idx="2">
                  <c:v>Furniture</c:v>
                </c:pt>
              </c:strCache>
            </c:strRef>
          </c:cat>
          <c:val>
            <c:numRef>
              <c:f>Summary!$G$8:$G$11</c:f>
              <c:numCache>
                <c:formatCode>General</c:formatCode>
                <c:ptCount val="3"/>
                <c:pt idx="0">
                  <c:v>99000</c:v>
                </c:pt>
                <c:pt idx="1">
                  <c:v>176000</c:v>
                </c:pt>
                <c:pt idx="2">
                  <c:v>74000</c:v>
                </c:pt>
              </c:numCache>
            </c:numRef>
          </c:val>
          <c:extLst>
            <c:ext xmlns:c16="http://schemas.microsoft.com/office/drawing/2014/chart" uri="{C3380CC4-5D6E-409C-BE32-E72D297353CC}">
              <c16:uniqueId val="{00000002-C176-4803-BB2D-01821E88A1A1}"/>
            </c:ext>
          </c:extLst>
        </c:ser>
        <c:dLbls>
          <c:dLblPos val="inEnd"/>
          <c:showLegendKey val="0"/>
          <c:showVal val="1"/>
          <c:showCatName val="0"/>
          <c:showSerName val="0"/>
          <c:showPercent val="0"/>
          <c:showBubbleSize val="0"/>
        </c:dLbls>
        <c:gapWidth val="80"/>
        <c:overlap val="25"/>
        <c:axId val="649005903"/>
        <c:axId val="604952015"/>
      </c:barChart>
      <c:catAx>
        <c:axId val="6490059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04952015"/>
        <c:crosses val="autoZero"/>
        <c:auto val="1"/>
        <c:lblAlgn val="ctr"/>
        <c:lblOffset val="100"/>
        <c:noMultiLvlLbl val="0"/>
      </c:catAx>
      <c:valAx>
        <c:axId val="6049520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4900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581025</xdr:colOff>
      <xdr:row>2</xdr:row>
      <xdr:rowOff>31750</xdr:rowOff>
    </xdr:from>
    <xdr:to>
      <xdr:col>13</xdr:col>
      <xdr:colOff>247650</xdr:colOff>
      <xdr:row>5</xdr:row>
      <xdr:rowOff>79376</xdr:rowOff>
    </xdr:to>
    <xdr:grpSp>
      <xdr:nvGrpSpPr>
        <xdr:cNvPr id="2" name="Group 1">
          <a:extLst>
            <a:ext uri="{FF2B5EF4-FFF2-40B4-BE49-F238E27FC236}">
              <a16:creationId xmlns:a16="http://schemas.microsoft.com/office/drawing/2014/main" id="{D8FA3527-FD0B-46C9-9183-35BEA0F8A954}"/>
            </a:ext>
          </a:extLst>
        </xdr:cNvPr>
        <xdr:cNvGrpSpPr/>
      </xdr:nvGrpSpPr>
      <xdr:grpSpPr>
        <a:xfrm>
          <a:off x="3015192" y="402167"/>
          <a:ext cx="5143500" cy="603251"/>
          <a:chOff x="2165350" y="352425"/>
          <a:chExt cx="5153025" cy="619126"/>
        </a:xfrm>
        <a:solidFill>
          <a:schemeClr val="accent5">
            <a:lumMod val="40000"/>
            <a:lumOff val="60000"/>
          </a:schemeClr>
        </a:solidFill>
      </xdr:grpSpPr>
      <xdr:sp macro="" textlink="">
        <xdr:nvSpPr>
          <xdr:cNvPr id="3" name="Rectangle: Rounded Corners 2">
            <a:extLst>
              <a:ext uri="{FF2B5EF4-FFF2-40B4-BE49-F238E27FC236}">
                <a16:creationId xmlns:a16="http://schemas.microsoft.com/office/drawing/2014/main" id="{E1EA1157-B333-7631-21BD-E259F5D01162}"/>
              </a:ext>
            </a:extLst>
          </xdr:cNvPr>
          <xdr:cNvSpPr/>
        </xdr:nvSpPr>
        <xdr:spPr>
          <a:xfrm>
            <a:off x="2165350" y="352425"/>
            <a:ext cx="1214437" cy="603250"/>
          </a:xfrm>
          <a:prstGeom prst="roundRect">
            <a:avLst/>
          </a:prstGeom>
          <a:grpFill/>
          <a:ln>
            <a:solidFill>
              <a:schemeClr val="tx1">
                <a:lumMod val="95000"/>
                <a:lumOff val="5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latin typeface="+mn-lt"/>
              </a:rPr>
              <a:t>Total</a:t>
            </a:r>
            <a:r>
              <a:rPr lang="en-US" sz="1400" b="1" baseline="0">
                <a:solidFill>
                  <a:schemeClr val="tx1">
                    <a:lumMod val="95000"/>
                    <a:lumOff val="5000"/>
                  </a:schemeClr>
                </a:solidFill>
                <a:latin typeface="+mn-lt"/>
              </a:rPr>
              <a:t> Sale:</a:t>
            </a:r>
            <a:endParaRPr lang="en-US" sz="1400" b="1">
              <a:solidFill>
                <a:schemeClr val="tx1">
                  <a:lumMod val="95000"/>
                  <a:lumOff val="5000"/>
                </a:schemeClr>
              </a:solidFill>
              <a:latin typeface="+mn-lt"/>
            </a:endParaRPr>
          </a:p>
        </xdr:txBody>
      </xdr:sp>
      <xdr:sp macro="" textlink="$B$1">
        <xdr:nvSpPr>
          <xdr:cNvPr id="4" name="TextBox 3">
            <a:extLst>
              <a:ext uri="{FF2B5EF4-FFF2-40B4-BE49-F238E27FC236}">
                <a16:creationId xmlns:a16="http://schemas.microsoft.com/office/drawing/2014/main" id="{E5DA86E2-46C7-365B-2D4E-18FE7CB6C383}"/>
              </a:ext>
            </a:extLst>
          </xdr:cNvPr>
          <xdr:cNvSpPr txBox="1"/>
        </xdr:nvSpPr>
        <xdr:spPr>
          <a:xfrm>
            <a:off x="2387601" y="569913"/>
            <a:ext cx="1135063" cy="280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CCAD687-F01F-4CF9-9608-23DF96202788}" type="TxLink">
              <a:rPr lang="en-US" sz="1200" b="1" i="0" u="none" strike="noStrike">
                <a:solidFill>
                  <a:srgbClr val="000000"/>
                </a:solidFill>
                <a:latin typeface="Calibri"/>
                <a:ea typeface="Calibri"/>
                <a:cs typeface="Calibri"/>
              </a:rPr>
              <a:t>₹996,000</a:t>
            </a:fld>
            <a:endParaRPr lang="en-US" sz="1400" b="1"/>
          </a:p>
        </xdr:txBody>
      </xdr:sp>
      <xdr:sp macro="" textlink="">
        <xdr:nvSpPr>
          <xdr:cNvPr id="5" name="Rectangle: Rounded Corners 4">
            <a:extLst>
              <a:ext uri="{FF2B5EF4-FFF2-40B4-BE49-F238E27FC236}">
                <a16:creationId xmlns:a16="http://schemas.microsoft.com/office/drawing/2014/main" id="{ECCDC7D3-A1CE-0F7A-5022-69792ED4C9F8}"/>
              </a:ext>
            </a:extLst>
          </xdr:cNvPr>
          <xdr:cNvSpPr/>
        </xdr:nvSpPr>
        <xdr:spPr>
          <a:xfrm>
            <a:off x="3459162" y="368300"/>
            <a:ext cx="1214437" cy="603250"/>
          </a:xfrm>
          <a:prstGeom prst="roundRect">
            <a:avLst/>
          </a:prstGeom>
          <a:grpFill/>
          <a:ln>
            <a:solidFill>
              <a:schemeClr val="tx1">
                <a:lumMod val="95000"/>
                <a:lumOff val="5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latin typeface="+mn-lt"/>
              </a:rPr>
              <a:t>Total</a:t>
            </a:r>
            <a:r>
              <a:rPr lang="en-US" sz="1400" b="1" baseline="0">
                <a:solidFill>
                  <a:schemeClr val="tx1">
                    <a:lumMod val="95000"/>
                    <a:lumOff val="5000"/>
                  </a:schemeClr>
                </a:solidFill>
                <a:latin typeface="+mn-lt"/>
              </a:rPr>
              <a:t> Profit:</a:t>
            </a:r>
            <a:endParaRPr lang="en-US" sz="1400" b="1">
              <a:solidFill>
                <a:schemeClr val="tx1">
                  <a:lumMod val="95000"/>
                  <a:lumOff val="5000"/>
                </a:schemeClr>
              </a:solidFill>
              <a:latin typeface="+mn-lt"/>
            </a:endParaRPr>
          </a:p>
        </xdr:txBody>
      </xdr:sp>
      <xdr:sp macro="" textlink="">
        <xdr:nvSpPr>
          <xdr:cNvPr id="6" name="Rectangle: Rounded Corners 5">
            <a:extLst>
              <a:ext uri="{FF2B5EF4-FFF2-40B4-BE49-F238E27FC236}">
                <a16:creationId xmlns:a16="http://schemas.microsoft.com/office/drawing/2014/main" id="{3EE0DEF2-A949-218B-9920-BEC6FE0724CF}"/>
              </a:ext>
            </a:extLst>
          </xdr:cNvPr>
          <xdr:cNvSpPr/>
        </xdr:nvSpPr>
        <xdr:spPr>
          <a:xfrm>
            <a:off x="4759324" y="368301"/>
            <a:ext cx="1214437" cy="603250"/>
          </a:xfrm>
          <a:prstGeom prst="roundRect">
            <a:avLst/>
          </a:prstGeom>
          <a:grpFill/>
          <a:ln>
            <a:solidFill>
              <a:schemeClr val="tx1">
                <a:lumMod val="95000"/>
                <a:lumOff val="5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95000"/>
                    <a:lumOff val="5000"/>
                  </a:schemeClr>
                </a:solidFill>
                <a:latin typeface="+mn-lt"/>
              </a:rPr>
              <a:t>Total</a:t>
            </a:r>
            <a:r>
              <a:rPr lang="en-US" sz="1400" b="1" baseline="0">
                <a:solidFill>
                  <a:schemeClr val="tx1">
                    <a:lumMod val="95000"/>
                    <a:lumOff val="5000"/>
                  </a:schemeClr>
                </a:solidFill>
                <a:latin typeface="+mn-lt"/>
              </a:rPr>
              <a:t> Order:</a:t>
            </a:r>
            <a:endParaRPr lang="en-US" sz="1400" b="1">
              <a:solidFill>
                <a:schemeClr val="tx1">
                  <a:lumMod val="95000"/>
                  <a:lumOff val="5000"/>
                </a:schemeClr>
              </a:solidFill>
              <a:latin typeface="+mn-lt"/>
            </a:endParaRPr>
          </a:p>
        </xdr:txBody>
      </xdr:sp>
      <xdr:sp macro="" textlink="">
        <xdr:nvSpPr>
          <xdr:cNvPr id="7" name="Rectangle: Rounded Corners 6">
            <a:extLst>
              <a:ext uri="{FF2B5EF4-FFF2-40B4-BE49-F238E27FC236}">
                <a16:creationId xmlns:a16="http://schemas.microsoft.com/office/drawing/2014/main" id="{7719D704-0930-5A76-AF9E-D089B3CD51D1}"/>
              </a:ext>
            </a:extLst>
          </xdr:cNvPr>
          <xdr:cNvSpPr/>
        </xdr:nvSpPr>
        <xdr:spPr>
          <a:xfrm>
            <a:off x="6061074" y="361949"/>
            <a:ext cx="1257301" cy="603250"/>
          </a:xfrm>
          <a:prstGeom prst="roundRect">
            <a:avLst/>
          </a:prstGeom>
          <a:grpFill/>
          <a:ln>
            <a:solidFill>
              <a:schemeClr val="tx1">
                <a:lumMod val="95000"/>
                <a:lumOff val="5000"/>
              </a:schemeClr>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chemeClr val="tx1">
                    <a:lumMod val="95000"/>
                    <a:lumOff val="5000"/>
                  </a:schemeClr>
                </a:solidFill>
                <a:latin typeface="+mn-lt"/>
              </a:rPr>
              <a:t>Average Sale:</a:t>
            </a:r>
            <a:endParaRPr lang="en-US" sz="1400" b="1">
              <a:solidFill>
                <a:schemeClr val="tx1">
                  <a:lumMod val="95000"/>
                  <a:lumOff val="5000"/>
                </a:schemeClr>
              </a:solidFill>
              <a:latin typeface="+mn-lt"/>
            </a:endParaRPr>
          </a:p>
        </xdr:txBody>
      </xdr:sp>
    </xdr:grpSp>
    <xdr:clientData/>
  </xdr:twoCellAnchor>
  <xdr:twoCellAnchor>
    <xdr:from>
      <xdr:col>7</xdr:col>
      <xdr:colOff>200025</xdr:colOff>
      <xdr:row>3</xdr:row>
      <xdr:rowOff>47625</xdr:rowOff>
    </xdr:from>
    <xdr:to>
      <xdr:col>9</xdr:col>
      <xdr:colOff>38100</xdr:colOff>
      <xdr:row>4</xdr:row>
      <xdr:rowOff>171450</xdr:rowOff>
    </xdr:to>
    <xdr:sp macro="" textlink="Summary!$B$2">
      <xdr:nvSpPr>
        <xdr:cNvPr id="8" name="TextBox 7">
          <a:extLst>
            <a:ext uri="{FF2B5EF4-FFF2-40B4-BE49-F238E27FC236}">
              <a16:creationId xmlns:a16="http://schemas.microsoft.com/office/drawing/2014/main" id="{21A7215D-7E12-1EE2-F383-E12611AF9C65}"/>
            </a:ext>
          </a:extLst>
        </xdr:cNvPr>
        <xdr:cNvSpPr txBox="1"/>
      </xdr:nvSpPr>
      <xdr:spPr>
        <a:xfrm>
          <a:off x="4467225" y="619125"/>
          <a:ext cx="1057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F61909-1C23-4F97-9910-CADA91E13A12}" type="TxLink">
            <a:rPr lang="en-US" sz="1200" b="1" i="0" u="none" strike="noStrike">
              <a:solidFill>
                <a:srgbClr val="000000"/>
              </a:solidFill>
              <a:latin typeface="Calibri"/>
              <a:ea typeface="Calibri"/>
              <a:cs typeface="Calibri"/>
            </a:rPr>
            <a:t>₹ 200,000</a:t>
          </a:fld>
          <a:endParaRPr lang="en-US" sz="1200" b="1"/>
        </a:p>
      </xdr:txBody>
    </xdr:sp>
    <xdr:clientData/>
  </xdr:twoCellAnchor>
  <xdr:twoCellAnchor>
    <xdr:from>
      <xdr:col>9</xdr:col>
      <xdr:colOff>533400</xdr:colOff>
      <xdr:row>3</xdr:row>
      <xdr:rowOff>79375</xdr:rowOff>
    </xdr:from>
    <xdr:to>
      <xdr:col>11</xdr:col>
      <xdr:colOff>371475</xdr:colOff>
      <xdr:row>5</xdr:row>
      <xdr:rowOff>12700</xdr:rowOff>
    </xdr:to>
    <xdr:sp macro="" textlink="Summary!$B$3">
      <xdr:nvSpPr>
        <xdr:cNvPr id="9" name="TextBox 8">
          <a:extLst>
            <a:ext uri="{FF2B5EF4-FFF2-40B4-BE49-F238E27FC236}">
              <a16:creationId xmlns:a16="http://schemas.microsoft.com/office/drawing/2014/main" id="{9703357F-9139-4735-9A37-33892832493A}"/>
            </a:ext>
          </a:extLst>
        </xdr:cNvPr>
        <xdr:cNvSpPr txBox="1"/>
      </xdr:nvSpPr>
      <xdr:spPr>
        <a:xfrm>
          <a:off x="6019800" y="650875"/>
          <a:ext cx="1057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B420D6-BC09-452A-8D88-5FDD8F3ECBE0}" type="TxLink">
            <a:rPr lang="en-US" sz="1200" b="1" i="0" u="none" strike="noStrike">
              <a:solidFill>
                <a:srgbClr val="000000"/>
              </a:solidFill>
              <a:latin typeface="Calibri"/>
              <a:ea typeface="Calibri"/>
              <a:cs typeface="Calibri"/>
            </a:rPr>
            <a:t>13</a:t>
          </a:fld>
          <a:endParaRPr lang="en-US" sz="1200" b="1"/>
        </a:p>
      </xdr:txBody>
    </xdr:sp>
    <xdr:clientData/>
  </xdr:twoCellAnchor>
  <xdr:twoCellAnchor>
    <xdr:from>
      <xdr:col>11</xdr:col>
      <xdr:colOff>438150</xdr:colOff>
      <xdr:row>3</xdr:row>
      <xdr:rowOff>69850</xdr:rowOff>
    </xdr:from>
    <xdr:to>
      <xdr:col>13</xdr:col>
      <xdr:colOff>276225</xdr:colOff>
      <xdr:row>5</xdr:row>
      <xdr:rowOff>3175</xdr:rowOff>
    </xdr:to>
    <xdr:sp macro="" textlink="Summary!$B$4">
      <xdr:nvSpPr>
        <xdr:cNvPr id="10" name="TextBox 9">
          <a:extLst>
            <a:ext uri="{FF2B5EF4-FFF2-40B4-BE49-F238E27FC236}">
              <a16:creationId xmlns:a16="http://schemas.microsoft.com/office/drawing/2014/main" id="{A012DFC8-8629-407F-91CB-F641E3158538}"/>
            </a:ext>
          </a:extLst>
        </xdr:cNvPr>
        <xdr:cNvSpPr txBox="1"/>
      </xdr:nvSpPr>
      <xdr:spPr>
        <a:xfrm>
          <a:off x="7143750" y="641350"/>
          <a:ext cx="10572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9F301-E3E0-4CDA-89C5-629B43D3E415}" type="TxLink">
            <a:rPr lang="en-US" sz="1200" b="1" i="0" u="none" strike="noStrike">
              <a:solidFill>
                <a:srgbClr val="000000"/>
              </a:solidFill>
              <a:latin typeface="Calibri"/>
              <a:ea typeface="Calibri"/>
              <a:cs typeface="Calibri"/>
            </a:rPr>
            <a:t>₹83,000</a:t>
          </a:fld>
          <a:endParaRPr lang="en-US" sz="1200" b="1"/>
        </a:p>
      </xdr:txBody>
    </xdr:sp>
    <xdr:clientData/>
  </xdr:twoCellAnchor>
  <xdr:twoCellAnchor>
    <xdr:from>
      <xdr:col>4</xdr:col>
      <xdr:colOff>561975</xdr:colOff>
      <xdr:row>6</xdr:row>
      <xdr:rowOff>57150</xdr:rowOff>
    </xdr:from>
    <xdr:to>
      <xdr:col>9</xdr:col>
      <xdr:colOff>57150</xdr:colOff>
      <xdr:row>18</xdr:row>
      <xdr:rowOff>85725</xdr:rowOff>
    </xdr:to>
    <xdr:graphicFrame macro="">
      <xdr:nvGraphicFramePr>
        <xdr:cNvPr id="11" name="Chart 10">
          <a:extLst>
            <a:ext uri="{FF2B5EF4-FFF2-40B4-BE49-F238E27FC236}">
              <a16:creationId xmlns:a16="http://schemas.microsoft.com/office/drawing/2014/main" id="{EB2C6FD9-4747-46A4-B702-3DC815031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133350</xdr:colOff>
      <xdr:row>6</xdr:row>
      <xdr:rowOff>76200</xdr:rowOff>
    </xdr:from>
    <xdr:to>
      <xdr:col>13</xdr:col>
      <xdr:colOff>314325</xdr:colOff>
      <xdr:row>18</xdr:row>
      <xdr:rowOff>76200</xdr:rowOff>
    </xdr:to>
    <xdr:graphicFrame macro="">
      <xdr:nvGraphicFramePr>
        <xdr:cNvPr id="12" name="Chart 11">
          <a:extLst>
            <a:ext uri="{FF2B5EF4-FFF2-40B4-BE49-F238E27FC236}">
              <a16:creationId xmlns:a16="http://schemas.microsoft.com/office/drawing/2014/main" id="{FD968A30-49AD-436B-901C-8E9B7887C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25</xdr:row>
      <xdr:rowOff>76200</xdr:rowOff>
    </xdr:from>
    <xdr:to>
      <xdr:col>13</xdr:col>
      <xdr:colOff>342900</xdr:colOff>
      <xdr:row>37</xdr:row>
      <xdr:rowOff>114300</xdr:rowOff>
    </xdr:to>
    <xdr:graphicFrame macro="">
      <xdr:nvGraphicFramePr>
        <xdr:cNvPr id="13" name="Chart 12">
          <a:extLst>
            <a:ext uri="{FF2B5EF4-FFF2-40B4-BE49-F238E27FC236}">
              <a16:creationId xmlns:a16="http://schemas.microsoft.com/office/drawing/2014/main" id="{69894D54-363B-4A6A-9ABD-B222AFB99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400050</xdr:colOff>
      <xdr:row>18</xdr:row>
      <xdr:rowOff>152401</xdr:rowOff>
    </xdr:from>
    <xdr:to>
      <xdr:col>6</xdr:col>
      <xdr:colOff>419100</xdr:colOff>
      <xdr:row>25</xdr:row>
      <xdr:rowOff>19051</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7FACD86A-DA85-5297-301C-3FF6A6CEA84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25675" y="3486151"/>
              <a:ext cx="1844675" cy="1163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18</xdr:row>
      <xdr:rowOff>152401</xdr:rowOff>
    </xdr:from>
    <xdr:to>
      <xdr:col>14</xdr:col>
      <xdr:colOff>504825</xdr:colOff>
      <xdr:row>24</xdr:row>
      <xdr:rowOff>171451</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452BC70B-EAEC-F637-5D42-309D5C647C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55933" y="3486151"/>
              <a:ext cx="1768475"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muhammad zaid" refreshedDate="46291.771241898146" createdVersion="8" refreshedVersion="8" minRefreshableVersion="3" recordCount="12" xr:uid="{772C46C0-B17D-47CD-AE28-6D45021AE7FD}">
  <cacheSource type="worksheet">
    <worksheetSource name="Table1"/>
  </cacheSource>
  <cacheFields count="7">
    <cacheField name="Order_ID" numFmtId="0">
      <sharedItems/>
    </cacheField>
    <cacheField name="Month" numFmtId="0">
      <sharedItems count="4">
        <s v="Jan"/>
        <s v="Feb"/>
        <s v="Mar"/>
        <s v="Apr"/>
      </sharedItems>
    </cacheField>
    <cacheField name="City" numFmtId="0">
      <sharedItems count="3">
        <s v="Lucknow"/>
        <s v="Delhi"/>
        <s v="Mumbai"/>
      </sharedItems>
    </cacheField>
    <cacheField name="Category" numFmtId="0">
      <sharedItems count="3">
        <s v="Electronics"/>
        <s v="Clothing"/>
        <s v="Furniture"/>
      </sharedItems>
    </cacheField>
    <cacheField name="Employee" numFmtId="0">
      <sharedItems count="5">
        <s v="Rahul"/>
        <s v="Priya"/>
        <s v="Arman"/>
        <s v="Hamza"/>
        <s v="Sara"/>
      </sharedItems>
    </cacheField>
    <cacheField name="Sales" numFmtId="0">
      <sharedItems containsSemiMixedTypes="0" containsString="0" containsNumber="1" containsInteger="1" minValue="62000" maxValue="105000" count="12">
        <n v="85000"/>
        <n v="62000"/>
        <n v="74000"/>
        <n v="92000"/>
        <n v="68000"/>
        <n v="81000"/>
        <n v="78000"/>
        <n v="75000"/>
        <n v="95000"/>
        <n v="105000"/>
        <n v="82000"/>
        <n v="99000"/>
      </sharedItems>
    </cacheField>
    <cacheField name="Profit" numFmtId="0">
      <sharedItems containsSemiMixedTypes="0" containsString="0" containsNumber="1" containsInteger="1" minValue="12000" maxValue="22000"/>
    </cacheField>
  </cacheFields>
  <extLst>
    <ext xmlns:x14="http://schemas.microsoft.com/office/spreadsheetml/2009/9/main" uri="{725AE2AE-9491-48be-B2B4-4EB974FC3084}">
      <x14:pivotCacheDefinition pivotCacheId="275960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001"/>
    <x v="0"/>
    <x v="0"/>
    <x v="0"/>
    <x v="0"/>
    <x v="0"/>
    <n v="17000"/>
  </r>
  <r>
    <s v="O002"/>
    <x v="0"/>
    <x v="1"/>
    <x v="1"/>
    <x v="1"/>
    <x v="1"/>
    <n v="12000"/>
  </r>
  <r>
    <s v="O003"/>
    <x v="0"/>
    <x v="2"/>
    <x v="2"/>
    <x v="2"/>
    <x v="2"/>
    <n v="14500"/>
  </r>
  <r>
    <s v="O004"/>
    <x v="1"/>
    <x v="0"/>
    <x v="0"/>
    <x v="0"/>
    <x v="3"/>
    <n v="19000"/>
  </r>
  <r>
    <s v="O005"/>
    <x v="1"/>
    <x v="1"/>
    <x v="1"/>
    <x v="3"/>
    <x v="4"/>
    <n v="13500"/>
  </r>
  <r>
    <s v="O006"/>
    <x v="1"/>
    <x v="2"/>
    <x v="0"/>
    <x v="4"/>
    <x v="5"/>
    <n v="16000"/>
  </r>
  <r>
    <s v="O007"/>
    <x v="2"/>
    <x v="0"/>
    <x v="2"/>
    <x v="0"/>
    <x v="6"/>
    <n v="15500"/>
  </r>
  <r>
    <s v="O008"/>
    <x v="2"/>
    <x v="1"/>
    <x v="0"/>
    <x v="1"/>
    <x v="7"/>
    <n v="15000"/>
  </r>
  <r>
    <s v="O009"/>
    <x v="2"/>
    <x v="2"/>
    <x v="0"/>
    <x v="3"/>
    <x v="8"/>
    <n v="19000"/>
  </r>
  <r>
    <s v="O010"/>
    <x v="3"/>
    <x v="0"/>
    <x v="0"/>
    <x v="4"/>
    <x v="9"/>
    <n v="22000"/>
  </r>
  <r>
    <s v="O011"/>
    <x v="3"/>
    <x v="1"/>
    <x v="2"/>
    <x v="1"/>
    <x v="10"/>
    <n v="16500"/>
  </r>
  <r>
    <s v="O012"/>
    <x v="3"/>
    <x v="2"/>
    <x v="1"/>
    <x v="2"/>
    <x v="11"/>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4E3124-A7D1-4188-9947-37A5B774701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17" firstHeaderRow="1" firstDataRow="1" firstDataCol="1"/>
  <pivotFields count="7">
    <pivotField showAll="0"/>
    <pivotField showAll="0"/>
    <pivotField showAll="0"/>
    <pivotField axis="axisRow" showAll="0">
      <items count="4">
        <item x="1"/>
        <item x="0"/>
        <item x="2"/>
        <item t="default"/>
      </items>
    </pivotField>
    <pivotField showAll="0"/>
    <pivotField dataField="1" showAll="0"/>
    <pivotField showAll="0"/>
  </pivotFields>
  <rowFields count="1">
    <field x="3"/>
  </rowFields>
  <rowItems count="4">
    <i>
      <x/>
    </i>
    <i>
      <x v="1"/>
    </i>
    <i>
      <x v="2"/>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3C6B40-79E9-4A51-B130-0395D6D6BB9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2:E18" firstHeaderRow="1" firstDataRow="1" firstDataCol="1"/>
  <pivotFields count="7">
    <pivotField showAll="0"/>
    <pivotField showAll="0"/>
    <pivotField showAll="0"/>
    <pivotField showAll="0"/>
    <pivotField axis="axisRow" showAll="0">
      <items count="6">
        <item x="2"/>
        <item x="3"/>
        <item x="1"/>
        <item x="0"/>
        <item x="4"/>
        <item t="default"/>
      </items>
    </pivotField>
    <pivotField dataField="1" showAll="0"/>
    <pivotField showAll="0"/>
  </pivotFields>
  <rowFields count="1">
    <field x="4"/>
  </rowFields>
  <rowItems count="6">
    <i>
      <x/>
    </i>
    <i>
      <x v="1"/>
    </i>
    <i>
      <x v="2"/>
    </i>
    <i>
      <x v="3"/>
    </i>
    <i>
      <x v="4"/>
    </i>
    <i t="grand">
      <x/>
    </i>
  </rowItems>
  <colItems count="1">
    <i/>
  </colItems>
  <dataFields count="1">
    <dataField name="Sum of Sales" fld="5" baseField="0" baseItem="0"/>
  </dataFields>
  <chartFormats count="5">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5DEA98-873F-4815-8220-1E659507D2BD}"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D6:H11" firstHeaderRow="1" firstDataRow="2" firstDataCol="1"/>
  <pivotFields count="7">
    <pivotField showAll="0"/>
    <pivotField showAll="0"/>
    <pivotField axis="axisCol" showAll="0">
      <items count="4">
        <item x="1"/>
        <item x="0"/>
        <item x="2"/>
        <item t="default"/>
      </items>
    </pivotField>
    <pivotField axis="axisRow" showAll="0">
      <items count="4">
        <item x="1"/>
        <item x="0"/>
        <item x="2"/>
        <item t="default"/>
      </items>
    </pivotField>
    <pivotField showAll="0"/>
    <pivotField dataField="1" showAll="0">
      <items count="13">
        <item x="1"/>
        <item x="4"/>
        <item x="2"/>
        <item x="7"/>
        <item x="6"/>
        <item x="5"/>
        <item x="10"/>
        <item x="0"/>
        <item x="3"/>
        <item x="8"/>
        <item x="11"/>
        <item x="9"/>
        <item t="default"/>
      </items>
    </pivotField>
    <pivotField showAll="0"/>
  </pivotFields>
  <rowFields count="1">
    <field x="3"/>
  </rowFields>
  <rowItems count="4">
    <i>
      <x/>
    </i>
    <i>
      <x v="1"/>
    </i>
    <i>
      <x v="2"/>
    </i>
    <i t="grand">
      <x/>
    </i>
  </rowItems>
  <colFields count="1">
    <field x="2"/>
  </colFields>
  <colItems count="4">
    <i>
      <x/>
    </i>
    <i>
      <x v="1"/>
    </i>
    <i>
      <x v="2"/>
    </i>
    <i t="grand">
      <x/>
    </i>
  </colItems>
  <dataFields count="1">
    <dataField name="Sum of Sales" fld="5" baseField="0" baseItem="0"/>
  </dataFields>
  <conditionalFormats count="1">
    <conditionalFormat priority="2">
      <pivotAreas count="1">
        <pivotArea fieldPosition="0">
          <references count="1">
            <reference field="3" count="0"/>
          </references>
        </pivotArea>
      </pivotAreas>
    </conditionalFormat>
  </conditionalFormats>
  <chartFormats count="6">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3" format="6" series="1">
      <pivotArea type="data" outline="0" fieldPosition="0">
        <references count="2">
          <reference field="4294967294" count="1" selected="0">
            <x v="0"/>
          </reference>
          <reference field="2" count="1" selected="0">
            <x v="0"/>
          </reference>
        </references>
      </pivotArea>
    </chartFormat>
    <chartFormat chart="13" format="7"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5D51B-8940-4D38-A95A-8DD53E3E424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7" firstHeaderRow="1" firstDataRow="1" firstDataCol="1"/>
  <pivotFields count="7">
    <pivotField showAll="0"/>
    <pivotField axis="axisRow" showAll="0">
      <items count="5">
        <item x="0"/>
        <item x="1"/>
        <item x="2"/>
        <item x="3"/>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5EDB82-D0CE-4F2E-A616-2940B114A5B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B10" firstHeaderRow="1" firstDataRow="1" firstDataCol="1"/>
  <pivotFields count="7">
    <pivotField showAll="0"/>
    <pivotField showAll="0"/>
    <pivotField axis="axisRow" showAll="0">
      <items count="4">
        <item x="1"/>
        <item x="0"/>
        <item x="2"/>
        <item t="default"/>
      </items>
    </pivotField>
    <pivotField showAll="0"/>
    <pivotField showAll="0"/>
    <pivotField dataField="1" showAll="0"/>
    <pivotField showAll="0"/>
  </pivotFields>
  <rowFields count="1">
    <field x="2"/>
  </rowFields>
  <rowItems count="4">
    <i>
      <x/>
    </i>
    <i>
      <x v="1"/>
    </i>
    <i>
      <x v="2"/>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186F64-11AF-40BA-91FA-88ED116C9812}" sourceName="City">
  <pivotTables>
    <pivotTable tabId="4" name="PivotTable3"/>
  </pivotTables>
  <data>
    <tabular pivotCacheId="27596095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7FE529-61DE-4DDD-8572-09E03743A088}" sourceName="Category">
  <pivotTables>
    <pivotTable tabId="4" name="PivotTable3"/>
  </pivotTables>
  <data>
    <tabular pivotCacheId="2759609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8F1E7A3-F1AE-4DD2-9E37-8FC5C5738EEB}" cache="Slicer_City" caption="City" rowHeight="241300"/>
  <slicer name="Category" xr10:uid="{101398E4-7FC6-494C-BD73-1D11AB6A897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CB2B3C-7808-47FB-AFC1-16BEF4328138}" name="Table1" displayName="Table1" ref="A1:G13" totalsRowShown="0" headerRowDxfId="0" dataDxfId="1" headerRowBorderDxfId="10" tableBorderDxfId="11" totalsRowBorderDxfId="9">
  <autoFilter ref="A1:G13" xr:uid="{E1CB2B3C-7808-47FB-AFC1-16BEF4328138}"/>
  <tableColumns count="7">
    <tableColumn id="1" xr3:uid="{8CB59207-0EFF-4F0A-A36B-AEC567C7D38D}" name="Order_ID" dataDxfId="8"/>
    <tableColumn id="2" xr3:uid="{797C7BB9-BA7A-40C5-9BC7-71749B5E706E}" name="Month" dataDxfId="7"/>
    <tableColumn id="3" xr3:uid="{CCAC7EA5-B0D7-4D20-BB1E-D09C580DE3E8}" name="City" dataDxfId="6"/>
    <tableColumn id="4" xr3:uid="{DF5E31B9-6BDA-4376-9BDA-051D3DDE7C39}" name="Category" dataDxfId="5"/>
    <tableColumn id="5" xr3:uid="{48AFC9FD-0B13-482C-93E3-9F38890D13D5}" name="Employee" dataDxfId="4"/>
    <tableColumn id="6" xr3:uid="{876CBF5C-1405-4023-8747-9FFB63CFB1DF}" name="Sales" dataDxfId="3"/>
    <tableColumn id="7" xr3:uid="{4370CE38-BB93-4CC9-AAA0-5F77B0339AC1}" name="Profit"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zoomScale="120" zoomScaleNormal="120" workbookViewId="0">
      <selection activeCell="G15" sqref="G15"/>
    </sheetView>
  </sheetViews>
  <sheetFormatPr defaultRowHeight="15" x14ac:dyDescent="0.25"/>
  <cols>
    <col min="1" max="1" width="13.5703125" style="1" bestFit="1" customWidth="1"/>
    <col min="2" max="2" width="11.5703125" style="1" bestFit="1" customWidth="1"/>
    <col min="3" max="3" width="9" style="1" bestFit="1" customWidth="1"/>
    <col min="4" max="4" width="13.42578125" style="1" bestFit="1" customWidth="1"/>
    <col min="5" max="5" width="14.42578125" style="1" bestFit="1" customWidth="1"/>
    <col min="6" max="6" width="7.5703125" style="1" bestFit="1" customWidth="1"/>
    <col min="7" max="7" width="6.42578125" style="1" bestFit="1" customWidth="1"/>
    <col min="8" max="16384" width="9.140625" style="1"/>
  </cols>
  <sheetData>
    <row r="1" spans="1:7" x14ac:dyDescent="0.25">
      <c r="A1" s="6" t="s">
        <v>0</v>
      </c>
      <c r="B1" s="7" t="s">
        <v>1</v>
      </c>
      <c r="C1" s="7" t="s">
        <v>2</v>
      </c>
      <c r="D1" s="7" t="s">
        <v>3</v>
      </c>
      <c r="E1" s="7" t="s">
        <v>4</v>
      </c>
      <c r="F1" s="8" t="s">
        <v>5</v>
      </c>
      <c r="G1" s="9" t="s">
        <v>6</v>
      </c>
    </row>
    <row r="2" spans="1:7" x14ac:dyDescent="0.25">
      <c r="A2" s="4" t="s">
        <v>7</v>
      </c>
      <c r="B2" s="2" t="s">
        <v>8</v>
      </c>
      <c r="C2" s="2" t="s">
        <v>9</v>
      </c>
      <c r="D2" s="2" t="s">
        <v>10</v>
      </c>
      <c r="E2" s="2" t="s">
        <v>11</v>
      </c>
      <c r="F2" s="3">
        <v>85000</v>
      </c>
      <c r="G2" s="5">
        <v>17000</v>
      </c>
    </row>
    <row r="3" spans="1:7" x14ac:dyDescent="0.25">
      <c r="A3" s="4" t="s">
        <v>12</v>
      </c>
      <c r="B3" s="2" t="s">
        <v>8</v>
      </c>
      <c r="C3" s="2" t="s">
        <v>13</v>
      </c>
      <c r="D3" s="2" t="s">
        <v>14</v>
      </c>
      <c r="E3" s="2" t="s">
        <v>15</v>
      </c>
      <c r="F3" s="3">
        <v>62000</v>
      </c>
      <c r="G3" s="5">
        <v>12000</v>
      </c>
    </row>
    <row r="4" spans="1:7" x14ac:dyDescent="0.25">
      <c r="A4" s="4" t="s">
        <v>16</v>
      </c>
      <c r="B4" s="2" t="s">
        <v>8</v>
      </c>
      <c r="C4" s="2" t="s">
        <v>17</v>
      </c>
      <c r="D4" s="2" t="s">
        <v>18</v>
      </c>
      <c r="E4" s="2" t="s">
        <v>19</v>
      </c>
      <c r="F4" s="3">
        <v>74000</v>
      </c>
      <c r="G4" s="5">
        <v>14500</v>
      </c>
    </row>
    <row r="5" spans="1:7" x14ac:dyDescent="0.25">
      <c r="A5" s="4" t="s">
        <v>20</v>
      </c>
      <c r="B5" s="2" t="s">
        <v>21</v>
      </c>
      <c r="C5" s="2" t="s">
        <v>9</v>
      </c>
      <c r="D5" s="2" t="s">
        <v>10</v>
      </c>
      <c r="E5" s="2" t="s">
        <v>11</v>
      </c>
      <c r="F5" s="3">
        <v>92000</v>
      </c>
      <c r="G5" s="5">
        <v>19000</v>
      </c>
    </row>
    <row r="6" spans="1:7" x14ac:dyDescent="0.25">
      <c r="A6" s="4" t="s">
        <v>22</v>
      </c>
      <c r="B6" s="2" t="s">
        <v>21</v>
      </c>
      <c r="C6" s="2" t="s">
        <v>13</v>
      </c>
      <c r="D6" s="2" t="s">
        <v>14</v>
      </c>
      <c r="E6" s="2" t="s">
        <v>23</v>
      </c>
      <c r="F6" s="3">
        <v>68000</v>
      </c>
      <c r="G6" s="5">
        <v>13500</v>
      </c>
    </row>
    <row r="7" spans="1:7" x14ac:dyDescent="0.25">
      <c r="A7" s="4" t="s">
        <v>24</v>
      </c>
      <c r="B7" s="2" t="s">
        <v>21</v>
      </c>
      <c r="C7" s="2" t="s">
        <v>17</v>
      </c>
      <c r="D7" s="2" t="s">
        <v>10</v>
      </c>
      <c r="E7" s="2" t="s">
        <v>25</v>
      </c>
      <c r="F7" s="3">
        <v>81000</v>
      </c>
      <c r="G7" s="5">
        <v>16000</v>
      </c>
    </row>
    <row r="8" spans="1:7" x14ac:dyDescent="0.25">
      <c r="A8" s="4" t="s">
        <v>26</v>
      </c>
      <c r="B8" s="2" t="s">
        <v>27</v>
      </c>
      <c r="C8" s="2" t="s">
        <v>9</v>
      </c>
      <c r="D8" s="2" t="s">
        <v>18</v>
      </c>
      <c r="E8" s="2" t="s">
        <v>11</v>
      </c>
      <c r="F8" s="3">
        <v>78000</v>
      </c>
      <c r="G8" s="5">
        <v>15500</v>
      </c>
    </row>
    <row r="9" spans="1:7" x14ac:dyDescent="0.25">
      <c r="A9" s="4" t="s">
        <v>28</v>
      </c>
      <c r="B9" s="2" t="s">
        <v>27</v>
      </c>
      <c r="C9" s="2" t="s">
        <v>13</v>
      </c>
      <c r="D9" s="2" t="s">
        <v>10</v>
      </c>
      <c r="E9" s="2" t="s">
        <v>15</v>
      </c>
      <c r="F9" s="3">
        <v>75000</v>
      </c>
      <c r="G9" s="5">
        <v>15000</v>
      </c>
    </row>
    <row r="10" spans="1:7" x14ac:dyDescent="0.25">
      <c r="A10" s="4" t="s">
        <v>29</v>
      </c>
      <c r="B10" s="2" t="s">
        <v>27</v>
      </c>
      <c r="C10" s="2" t="s">
        <v>17</v>
      </c>
      <c r="D10" s="2" t="s">
        <v>10</v>
      </c>
      <c r="E10" s="2" t="s">
        <v>23</v>
      </c>
      <c r="F10" s="3">
        <v>95000</v>
      </c>
      <c r="G10" s="5">
        <v>19000</v>
      </c>
    </row>
    <row r="11" spans="1:7" x14ac:dyDescent="0.25">
      <c r="A11" s="4" t="s">
        <v>30</v>
      </c>
      <c r="B11" s="2" t="s">
        <v>31</v>
      </c>
      <c r="C11" s="2" t="s">
        <v>9</v>
      </c>
      <c r="D11" s="2" t="s">
        <v>10</v>
      </c>
      <c r="E11" s="2" t="s">
        <v>25</v>
      </c>
      <c r="F11" s="3">
        <v>105000</v>
      </c>
      <c r="G11" s="5">
        <v>22000</v>
      </c>
    </row>
    <row r="12" spans="1:7" x14ac:dyDescent="0.25">
      <c r="A12" s="4" t="s">
        <v>32</v>
      </c>
      <c r="B12" s="2" t="s">
        <v>31</v>
      </c>
      <c r="C12" s="2" t="s">
        <v>13</v>
      </c>
      <c r="D12" s="2" t="s">
        <v>18</v>
      </c>
      <c r="E12" s="2" t="s">
        <v>15</v>
      </c>
      <c r="F12" s="3">
        <v>82000</v>
      </c>
      <c r="G12" s="5">
        <v>16500</v>
      </c>
    </row>
    <row r="13" spans="1:7" x14ac:dyDescent="0.25">
      <c r="A13" s="10" t="s">
        <v>33</v>
      </c>
      <c r="B13" s="11" t="s">
        <v>31</v>
      </c>
      <c r="C13" s="11" t="s">
        <v>17</v>
      </c>
      <c r="D13" s="11" t="s">
        <v>14</v>
      </c>
      <c r="E13" s="11" t="s">
        <v>19</v>
      </c>
      <c r="F13" s="12">
        <v>99000</v>
      </c>
      <c r="G13" s="13">
        <v>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184C-B277-4290-9B2D-5CF53987ABB4}">
  <dimension ref="A1:H18"/>
  <sheetViews>
    <sheetView topLeftCell="A3" zoomScale="120" zoomScaleNormal="120" workbookViewId="0">
      <selection activeCell="I10" sqref="I10"/>
    </sheetView>
  </sheetViews>
  <sheetFormatPr defaultRowHeight="15" x14ac:dyDescent="0.25"/>
  <cols>
    <col min="1" max="1" width="13.140625" bestFit="1" customWidth="1"/>
    <col min="2" max="2" width="12.5703125" bestFit="1" customWidth="1"/>
    <col min="4" max="6" width="13" bestFit="1" customWidth="1"/>
    <col min="7" max="7" width="13.140625" bestFit="1" customWidth="1"/>
    <col min="8" max="8" width="12.5703125" bestFit="1" customWidth="1"/>
  </cols>
  <sheetData>
    <row r="1" spans="1:8" x14ac:dyDescent="0.25">
      <c r="A1" s="14" t="s">
        <v>37</v>
      </c>
      <c r="B1" s="16">
        <f>SUM(Table1[[#All],[Sales]])</f>
        <v>996000</v>
      </c>
    </row>
    <row r="2" spans="1:8" x14ac:dyDescent="0.25">
      <c r="A2" s="14" t="s">
        <v>34</v>
      </c>
      <c r="B2" s="17">
        <f>SUM(Table1[[#All],[Profit]])</f>
        <v>200000</v>
      </c>
    </row>
    <row r="3" spans="1:8" x14ac:dyDescent="0.25">
      <c r="A3" s="14" t="s">
        <v>35</v>
      </c>
      <c r="B3" s="15">
        <f>COUNTA(Table1[[#All],[Order_ID]])</f>
        <v>13</v>
      </c>
    </row>
    <row r="4" spans="1:8" x14ac:dyDescent="0.25">
      <c r="A4" s="14" t="s">
        <v>36</v>
      </c>
      <c r="B4" s="16">
        <f>AVERAGE(Table1[[#All],[Sales]])</f>
        <v>83000</v>
      </c>
    </row>
    <row r="6" spans="1:8" x14ac:dyDescent="0.25">
      <c r="A6" s="18" t="s">
        <v>38</v>
      </c>
      <c r="B6" t="s">
        <v>40</v>
      </c>
      <c r="D6" s="18" t="s">
        <v>40</v>
      </c>
      <c r="E6" s="18" t="s">
        <v>41</v>
      </c>
    </row>
    <row r="7" spans="1:8" x14ac:dyDescent="0.25">
      <c r="A7" s="19" t="s">
        <v>13</v>
      </c>
      <c r="B7" s="20">
        <v>287000</v>
      </c>
      <c r="D7" s="18" t="s">
        <v>38</v>
      </c>
      <c r="E7" t="s">
        <v>13</v>
      </c>
      <c r="F7" t="s">
        <v>9</v>
      </c>
      <c r="G7" t="s">
        <v>17</v>
      </c>
      <c r="H7" t="s">
        <v>39</v>
      </c>
    </row>
    <row r="8" spans="1:8" x14ac:dyDescent="0.25">
      <c r="A8" s="19" t="s">
        <v>9</v>
      </c>
      <c r="B8" s="20">
        <v>360000</v>
      </c>
      <c r="D8" s="19" t="s">
        <v>14</v>
      </c>
      <c r="E8" s="20">
        <v>130000</v>
      </c>
      <c r="F8" s="20"/>
      <c r="G8" s="20">
        <v>99000</v>
      </c>
      <c r="H8" s="20">
        <v>229000</v>
      </c>
    </row>
    <row r="9" spans="1:8" x14ac:dyDescent="0.25">
      <c r="A9" s="19" t="s">
        <v>17</v>
      </c>
      <c r="B9" s="20">
        <v>349000</v>
      </c>
      <c r="D9" s="19" t="s">
        <v>10</v>
      </c>
      <c r="E9" s="20">
        <v>75000</v>
      </c>
      <c r="F9" s="20">
        <v>282000</v>
      </c>
      <c r="G9" s="20">
        <v>176000</v>
      </c>
      <c r="H9" s="20">
        <v>533000</v>
      </c>
    </row>
    <row r="10" spans="1:8" x14ac:dyDescent="0.25">
      <c r="A10" s="19" t="s">
        <v>39</v>
      </c>
      <c r="B10" s="20">
        <v>996000</v>
      </c>
      <c r="D10" s="19" t="s">
        <v>18</v>
      </c>
      <c r="E10" s="20">
        <v>82000</v>
      </c>
      <c r="F10" s="20">
        <v>78000</v>
      </c>
      <c r="G10" s="20">
        <v>74000</v>
      </c>
      <c r="H10" s="20">
        <v>234000</v>
      </c>
    </row>
    <row r="11" spans="1:8" x14ac:dyDescent="0.25">
      <c r="D11" s="19" t="s">
        <v>39</v>
      </c>
      <c r="E11" s="20">
        <v>287000</v>
      </c>
      <c r="F11" s="20">
        <v>360000</v>
      </c>
      <c r="G11" s="20">
        <v>349000</v>
      </c>
      <c r="H11" s="20">
        <v>996000</v>
      </c>
    </row>
    <row r="12" spans="1:8" x14ac:dyDescent="0.25">
      <c r="A12" s="18" t="s">
        <v>38</v>
      </c>
      <c r="B12" t="s">
        <v>40</v>
      </c>
      <c r="D12" s="18" t="s">
        <v>38</v>
      </c>
      <c r="E12" t="s">
        <v>40</v>
      </c>
    </row>
    <row r="13" spans="1:8" x14ac:dyDescent="0.25">
      <c r="A13" s="19" t="s">
        <v>8</v>
      </c>
      <c r="B13" s="20">
        <v>221000</v>
      </c>
      <c r="D13" s="19" t="s">
        <v>19</v>
      </c>
      <c r="E13" s="20">
        <v>173000</v>
      </c>
      <c r="G13" s="18" t="s">
        <v>38</v>
      </c>
      <c r="H13" t="s">
        <v>40</v>
      </c>
    </row>
    <row r="14" spans="1:8" x14ac:dyDescent="0.25">
      <c r="A14" s="19" t="s">
        <v>21</v>
      </c>
      <c r="B14" s="20">
        <v>241000</v>
      </c>
      <c r="D14" s="19" t="s">
        <v>23</v>
      </c>
      <c r="E14" s="20">
        <v>163000</v>
      </c>
      <c r="G14" s="19" t="s">
        <v>14</v>
      </c>
      <c r="H14" s="20">
        <v>229000</v>
      </c>
    </row>
    <row r="15" spans="1:8" x14ac:dyDescent="0.25">
      <c r="A15" s="19" t="s">
        <v>27</v>
      </c>
      <c r="B15" s="20">
        <v>248000</v>
      </c>
      <c r="D15" s="19" t="s">
        <v>15</v>
      </c>
      <c r="E15" s="20">
        <v>219000</v>
      </c>
      <c r="G15" s="19" t="s">
        <v>10</v>
      </c>
      <c r="H15" s="20">
        <v>533000</v>
      </c>
    </row>
    <row r="16" spans="1:8" x14ac:dyDescent="0.25">
      <c r="A16" s="19" t="s">
        <v>31</v>
      </c>
      <c r="B16" s="20">
        <v>286000</v>
      </c>
      <c r="D16" s="19" t="s">
        <v>11</v>
      </c>
      <c r="E16" s="20">
        <v>255000</v>
      </c>
      <c r="G16" s="19" t="s">
        <v>18</v>
      </c>
      <c r="H16" s="20">
        <v>234000</v>
      </c>
    </row>
    <row r="17" spans="1:8" x14ac:dyDescent="0.25">
      <c r="A17" s="19" t="s">
        <v>39</v>
      </c>
      <c r="B17" s="20">
        <v>996000</v>
      </c>
      <c r="D17" s="19" t="s">
        <v>25</v>
      </c>
      <c r="E17" s="20">
        <v>186000</v>
      </c>
      <c r="G17" s="19" t="s">
        <v>39</v>
      </c>
      <c r="H17" s="20">
        <v>996000</v>
      </c>
    </row>
    <row r="18" spans="1:8" x14ac:dyDescent="0.25">
      <c r="D18" s="19" t="s">
        <v>39</v>
      </c>
      <c r="E18" s="20">
        <v>996000</v>
      </c>
    </row>
  </sheetData>
  <conditionalFormatting pivot="1" sqref="E8:H10">
    <cfRule type="dataBar" priority="2">
      <dataBar>
        <cfvo type="min"/>
        <cfvo type="max"/>
        <color rgb="FF63C384"/>
      </dataBar>
      <extLst>
        <ext xmlns:x14="http://schemas.microsoft.com/office/spreadsheetml/2009/9/main" uri="{B025F937-C7B1-47D3-B67F-A62EFF666E3E}">
          <x14:id>{98C851CC-FE31-4AD3-A40C-F15284F9720F}</x14:id>
        </ext>
      </extLst>
    </cfRule>
  </conditionalFormatting>
  <conditionalFormatting sqref="G14:H16">
    <cfRule type="dataBar" priority="1">
      <dataBar>
        <cfvo type="min"/>
        <cfvo type="max"/>
        <color rgb="FF63C384"/>
      </dataBar>
      <extLst>
        <ext xmlns:x14="http://schemas.microsoft.com/office/spreadsheetml/2009/9/main" uri="{B025F937-C7B1-47D3-B67F-A62EFF666E3E}">
          <x14:id>{0C701D8D-35D4-464B-AC8A-2BC65F64D2E2}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8C851CC-FE31-4AD3-A40C-F15284F9720F}">
            <x14:dataBar minLength="0" maxLength="100" border="1" negativeBarBorderColorSameAsPositive="0">
              <x14:cfvo type="autoMin"/>
              <x14:cfvo type="autoMax"/>
              <x14:borderColor rgb="FF63C384"/>
              <x14:negativeFillColor rgb="FFFF0000"/>
              <x14:negativeBorderColor rgb="FFFF0000"/>
              <x14:axisColor rgb="FF000000"/>
            </x14:dataBar>
          </x14:cfRule>
          <xm:sqref>E8:H10</xm:sqref>
        </x14:conditionalFormatting>
        <x14:conditionalFormatting xmlns:xm="http://schemas.microsoft.com/office/excel/2006/main">
          <x14:cfRule type="dataBar" id="{0C701D8D-35D4-464B-AC8A-2BC65F64D2E2}">
            <x14:dataBar minLength="0" maxLength="100" border="1" negativeBarBorderColorSameAsPositive="0">
              <x14:cfvo type="autoMin"/>
              <x14:cfvo type="autoMax"/>
              <x14:borderColor rgb="FF63C384"/>
              <x14:negativeFillColor rgb="FFFF0000"/>
              <x14:negativeBorderColor rgb="FFFF0000"/>
              <x14:axisColor rgb="FF000000"/>
            </x14:dataBar>
          </x14:cfRule>
          <xm:sqref>G14:H16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DD6A-5733-4F1C-8E04-5D7E0E043985}">
  <dimension ref="F1:M23"/>
  <sheetViews>
    <sheetView showGridLines="0" zoomScale="72" workbookViewId="0">
      <selection activeCell="P18" sqref="P18"/>
    </sheetView>
  </sheetViews>
  <sheetFormatPr defaultRowHeight="15" x14ac:dyDescent="0.25"/>
  <sheetData>
    <row r="1" spans="6:13" x14ac:dyDescent="0.25">
      <c r="F1" s="21" t="s">
        <v>42</v>
      </c>
      <c r="G1" s="21"/>
      <c r="H1" s="21"/>
      <c r="I1" s="21"/>
      <c r="J1" s="21"/>
      <c r="K1" s="21"/>
      <c r="L1" s="21"/>
      <c r="M1" s="21"/>
    </row>
    <row r="2" spans="6:13" x14ac:dyDescent="0.25">
      <c r="F2" s="21"/>
      <c r="G2" s="21"/>
      <c r="H2" s="21"/>
      <c r="I2" s="21"/>
      <c r="J2" s="21"/>
      <c r="K2" s="21"/>
      <c r="L2" s="21"/>
      <c r="M2" s="21"/>
    </row>
    <row r="21" spans="8:9" x14ac:dyDescent="0.25">
      <c r="H21" s="22" t="s">
        <v>43</v>
      </c>
      <c r="I21" t="s">
        <v>46</v>
      </c>
    </row>
    <row r="22" spans="8:9" x14ac:dyDescent="0.25">
      <c r="H22" s="22" t="s">
        <v>44</v>
      </c>
      <c r="I22" t="s">
        <v>46</v>
      </c>
    </row>
    <row r="23" spans="8:9" x14ac:dyDescent="0.25">
      <c r="H23" s="22" t="s">
        <v>45</v>
      </c>
      <c r="I23" t="s">
        <v>47</v>
      </c>
    </row>
  </sheetData>
  <mergeCells count="1">
    <mergeCell ref="F1:M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1A80-95D6-445B-B6B5-72C03B1A6EF1}">
  <dimension ref="A1:A67"/>
  <sheetViews>
    <sheetView tabSelected="1" workbookViewId="0">
      <selection activeCell="M15" sqref="M15"/>
    </sheetView>
  </sheetViews>
  <sheetFormatPr defaultRowHeight="15" x14ac:dyDescent="0.25"/>
  <sheetData>
    <row r="1" spans="1:1" x14ac:dyDescent="0.25">
      <c r="A1" t="s">
        <v>48</v>
      </c>
    </row>
    <row r="2" spans="1:1" x14ac:dyDescent="0.25">
      <c r="A2" t="s">
        <v>49</v>
      </c>
    </row>
    <row r="4" spans="1:1" x14ac:dyDescent="0.25">
      <c r="A4" t="s">
        <v>50</v>
      </c>
    </row>
    <row r="5" spans="1:1" x14ac:dyDescent="0.25">
      <c r="A5" t="s">
        <v>51</v>
      </c>
    </row>
    <row r="6" spans="1:1" x14ac:dyDescent="0.25">
      <c r="A6" t="s">
        <v>52</v>
      </c>
    </row>
    <row r="8" spans="1:1" x14ac:dyDescent="0.25">
      <c r="A8" t="s">
        <v>53</v>
      </c>
    </row>
    <row r="10" spans="1:1" x14ac:dyDescent="0.25">
      <c r="A10" t="s">
        <v>54</v>
      </c>
    </row>
    <row r="11" spans="1:1" x14ac:dyDescent="0.25">
      <c r="A11" t="s">
        <v>55</v>
      </c>
    </row>
    <row r="13" spans="1:1" x14ac:dyDescent="0.25">
      <c r="A13" t="s">
        <v>56</v>
      </c>
    </row>
    <row r="14" spans="1:1" x14ac:dyDescent="0.25">
      <c r="A14" t="e" cm="1">
        <f t="array" ref="A14">- Total Sales</f>
        <v>#NAME?</v>
      </c>
    </row>
    <row r="15" spans="1:1" x14ac:dyDescent="0.25">
      <c r="A15" t="e" cm="1">
        <f t="array" ref="A15">- Total Profit</f>
        <v>#NAME?</v>
      </c>
    </row>
    <row r="16" spans="1:1" x14ac:dyDescent="0.25">
      <c r="A16" t="e" cm="1">
        <f t="array" ref="A16">- Total Orders</f>
        <v>#NAME?</v>
      </c>
    </row>
    <row r="17" spans="1:1" x14ac:dyDescent="0.25">
      <c r="A17" t="e" cm="1">
        <f t="array" ref="A17">- Average Sales</f>
        <v>#NAME?</v>
      </c>
    </row>
    <row r="19" spans="1:1" x14ac:dyDescent="0.25">
      <c r="A19" t="s">
        <v>57</v>
      </c>
    </row>
    <row r="20" spans="1:1" x14ac:dyDescent="0.25">
      <c r="A20" t="s">
        <v>58</v>
      </c>
    </row>
    <row r="22" spans="1:1" x14ac:dyDescent="0.25">
      <c r="A22" t="s">
        <v>59</v>
      </c>
    </row>
    <row r="23" spans="1:1" x14ac:dyDescent="0.25">
      <c r="A23" t="s">
        <v>60</v>
      </c>
    </row>
    <row r="25" spans="1:1" x14ac:dyDescent="0.25">
      <c r="A25" t="s">
        <v>61</v>
      </c>
    </row>
    <row r="26" spans="1:1" x14ac:dyDescent="0.25">
      <c r="A26" t="s">
        <v>62</v>
      </c>
    </row>
    <row r="28" spans="1:1" x14ac:dyDescent="0.25">
      <c r="A28" t="s">
        <v>63</v>
      </c>
    </row>
    <row r="29" spans="1:1" x14ac:dyDescent="0.25">
      <c r="A29" t="s">
        <v>64</v>
      </c>
    </row>
    <row r="31" spans="1:1" x14ac:dyDescent="0.25">
      <c r="A31" t="s">
        <v>65</v>
      </c>
    </row>
    <row r="33" spans="1:1" x14ac:dyDescent="0.25">
      <c r="A33" t="s">
        <v>66</v>
      </c>
    </row>
    <row r="34" spans="1:1" x14ac:dyDescent="0.25">
      <c r="A34" t="s">
        <v>67</v>
      </c>
    </row>
    <row r="35" spans="1:1" x14ac:dyDescent="0.25">
      <c r="A35" t="s">
        <v>68</v>
      </c>
    </row>
    <row r="36" spans="1:1" x14ac:dyDescent="0.25">
      <c r="A36" t="s">
        <v>67</v>
      </c>
    </row>
    <row r="37" spans="1:1" x14ac:dyDescent="0.25">
      <c r="A37" t="s">
        <v>54</v>
      </c>
    </row>
    <row r="38" spans="1:1" x14ac:dyDescent="0.25">
      <c r="A38" t="s">
        <v>67</v>
      </c>
    </row>
    <row r="39" spans="1:1" x14ac:dyDescent="0.25">
      <c r="A39" t="s">
        <v>69</v>
      </c>
    </row>
    <row r="40" spans="1:1" x14ac:dyDescent="0.25">
      <c r="A40" t="s">
        <v>67</v>
      </c>
    </row>
    <row r="41" spans="1:1" x14ac:dyDescent="0.25">
      <c r="A41" t="s">
        <v>70</v>
      </c>
    </row>
    <row r="42" spans="1:1" x14ac:dyDescent="0.25">
      <c r="A42" t="s">
        <v>67</v>
      </c>
    </row>
    <row r="43" spans="1:1" x14ac:dyDescent="0.25">
      <c r="A43" t="s">
        <v>71</v>
      </c>
    </row>
    <row r="44" spans="1:1" x14ac:dyDescent="0.25">
      <c r="A44" t="s">
        <v>67</v>
      </c>
    </row>
    <row r="45" spans="1:1" x14ac:dyDescent="0.25">
      <c r="A45" t="s">
        <v>72</v>
      </c>
    </row>
    <row r="47" spans="1:1" x14ac:dyDescent="0.25">
      <c r="A47" t="s">
        <v>73</v>
      </c>
    </row>
    <row r="49" spans="1:1" x14ac:dyDescent="0.25">
      <c r="A49" t="s">
        <v>74</v>
      </c>
    </row>
    <row r="50" spans="1:1" x14ac:dyDescent="0.25">
      <c r="A50" t="s">
        <v>75</v>
      </c>
    </row>
    <row r="51" spans="1:1" x14ac:dyDescent="0.25">
      <c r="A51" t="s">
        <v>76</v>
      </c>
    </row>
    <row r="53" spans="1:1" x14ac:dyDescent="0.25">
      <c r="A53" t="s">
        <v>77</v>
      </c>
    </row>
    <row r="55" spans="1:1" x14ac:dyDescent="0.25">
      <c r="A55" t="s">
        <v>78</v>
      </c>
    </row>
    <row r="56" spans="1:1" x14ac:dyDescent="0.25">
      <c r="A56" t="s">
        <v>79</v>
      </c>
    </row>
    <row r="57" spans="1:1" x14ac:dyDescent="0.25">
      <c r="A57" t="s">
        <v>80</v>
      </c>
    </row>
    <row r="58" spans="1:1" x14ac:dyDescent="0.25">
      <c r="A58" t="s">
        <v>81</v>
      </c>
    </row>
    <row r="59" spans="1:1" x14ac:dyDescent="0.25">
      <c r="A59" t="s">
        <v>82</v>
      </c>
    </row>
    <row r="60" spans="1:1" x14ac:dyDescent="0.25">
      <c r="A60" t="s">
        <v>83</v>
      </c>
    </row>
    <row r="61" spans="1:1" x14ac:dyDescent="0.25">
      <c r="A61" t="s">
        <v>84</v>
      </c>
    </row>
    <row r="62" spans="1:1" x14ac:dyDescent="0.25">
      <c r="A62" t="s">
        <v>85</v>
      </c>
    </row>
    <row r="63" spans="1:1" x14ac:dyDescent="0.25">
      <c r="A63" t="s">
        <v>86</v>
      </c>
    </row>
    <row r="64" spans="1:1" x14ac:dyDescent="0.25">
      <c r="A64" t="s">
        <v>87</v>
      </c>
    </row>
    <row r="65" spans="1:1" x14ac:dyDescent="0.25">
      <c r="A65" t="s">
        <v>88</v>
      </c>
    </row>
    <row r="67" spans="1:1" x14ac:dyDescent="0.25">
      <c r="A6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Summary</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Mohammad zaid</dc:creator>
  <cp:lastModifiedBy>syed Mohammad zaid</cp:lastModifiedBy>
  <dcterms:created xsi:type="dcterms:W3CDTF">2015-06-05T18:17:20Z</dcterms:created>
  <dcterms:modified xsi:type="dcterms:W3CDTF">2026-09-26T13:26:53Z</dcterms:modified>
</cp:coreProperties>
</file>