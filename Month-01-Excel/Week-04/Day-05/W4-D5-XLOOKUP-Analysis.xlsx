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4\Day-05\"/>
    </mc:Choice>
  </mc:AlternateContent>
  <xr:revisionPtr revIDLastSave="0" documentId="13_ncr:1_{13BA7E86-8BF1-4283-BA57-523316B9BB5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ales" sheetId="1" r:id="rId1"/>
    <sheet name="Product_Master" sheetId="2" r:id="rId2"/>
    <sheet name="Analysi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4" l="1" a="1"/>
  <c r="A27" i="4"/>
  <c r="C17" i="3"/>
  <c r="D17" i="3" s="1"/>
  <c r="B17" i="3"/>
  <c r="B12" i="3"/>
  <c r="B11" i="3"/>
  <c r="C13" i="3"/>
  <c r="C12" i="3"/>
  <c r="C11" i="3"/>
  <c r="C10" i="3"/>
  <c r="B9" i="3"/>
  <c r="B10" i="3"/>
  <c r="B13" i="3"/>
  <c r="G3" i="1"/>
  <c r="G4" i="1"/>
  <c r="H4" i="1" s="1"/>
  <c r="B3" i="3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2" i="1"/>
  <c r="H2" i="1" s="1"/>
  <c r="C9" i="3" s="1"/>
  <c r="C14" i="3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C2" i="3"/>
  <c r="F17" i="1"/>
  <c r="H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B4" i="3" l="1"/>
  <c r="C4" i="3"/>
  <c r="C3" i="3"/>
  <c r="B2" i="3"/>
  <c r="B14" i="3"/>
  <c r="B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<sst xmlns="http://schemas.openxmlformats.org/spreadsheetml/2006/main" count="151" uniqueCount="89">
  <si>
    <t>Order_ID</t>
  </si>
  <si>
    <t>Product_ID</t>
  </si>
  <si>
    <t>Employee</t>
  </si>
  <si>
    <t>City</t>
  </si>
  <si>
    <t>Quantity</t>
  </si>
  <si>
    <t>O001</t>
  </si>
  <si>
    <t>P101</t>
  </si>
  <si>
    <t>Rahul</t>
  </si>
  <si>
    <t>Lucknow</t>
  </si>
  <si>
    <t>O002</t>
  </si>
  <si>
    <t>P103</t>
  </si>
  <si>
    <t>Priya</t>
  </si>
  <si>
    <t>Delhi</t>
  </si>
  <si>
    <t>O003</t>
  </si>
  <si>
    <t>P102</t>
  </si>
  <si>
    <t>Arman</t>
  </si>
  <si>
    <t>Mumbai</t>
  </si>
  <si>
    <t>O004</t>
  </si>
  <si>
    <t>O005</t>
  </si>
  <si>
    <t>P104</t>
  </si>
  <si>
    <t>Hamza</t>
  </si>
  <si>
    <t>O006</t>
  </si>
  <si>
    <t>P105</t>
  </si>
  <si>
    <t>Sara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</si>
  <si>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</si>
  <si>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</si>
  <si>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</si>
  <si>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</si>
  <si>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</si>
  <si>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</si>
  <si>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</si>
  <si>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</si>
  <si>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</si>
  <si>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Product</t>
  </si>
  <si>
    <t>Category</t>
  </si>
  <si>
    <t>Unit_Price</t>
  </si>
  <si>
    <t>Laptop</t>
  </si>
  <si>
    <t>Electronics</t>
  </si>
  <si>
    <t>Chair</t>
  </si>
  <si>
    <t>Furniture</t>
  </si>
  <si>
    <t>Shirt</t>
  </si>
  <si>
    <t>Clothing</t>
  </si>
  <si>
    <t>Table</t>
  </si>
  <si>
    <t>Monitor</t>
  </si>
  <si>
    <t>Unit Price</t>
  </si>
  <si>
    <t>Total Sales</t>
  </si>
  <si>
    <t>O016</t>
  </si>
  <si>
    <t>P999</t>
  </si>
  <si>
    <t>Zaid</t>
  </si>
  <si>
    <t>Malihabad</t>
  </si>
  <si>
    <t>Total Quantity</t>
  </si>
  <si>
    <t>Highest sale</t>
  </si>
  <si>
    <t>PRODUCT PERFORMANCE</t>
  </si>
  <si>
    <t>Product_Name</t>
  </si>
  <si>
    <t>Highest Value</t>
  </si>
  <si>
    <t>Product_id</t>
  </si>
  <si>
    <t>product</t>
  </si>
  <si>
    <t>category</t>
  </si>
  <si>
    <t>WEEK 04 — DAY 05</t>
  </si>
  <si>
    <t>XLOOKUP &amp; DYNAMIC LOOKUP ANALYSIS</t>
  </si>
  <si>
    <t>XLOOKUP:</t>
  </si>
  <si>
    <t>Used to search for a value in one range</t>
  </si>
  <si>
    <t>and return the corresponding value from another range.</t>
  </si>
  <si>
    <t>Syntax:</t>
  </si>
  <si>
    <t>Example:</t>
  </si>
  <si>
    <t>=XLOOKUP(B2,'02_Product_Master'!A:A,</t>
  </si>
  <si>
    <t>'02_Product_Master'!B:B)</t>
  </si>
  <si>
    <t>LOOKUP LOGIC:</t>
  </si>
  <si>
    <t>↓</t>
  </si>
  <si>
    <t>Search in Product Master</t>
  </si>
  <si>
    <t>Return Product / Category / Price</t>
  </si>
  <si>
    <t>ERROR HANDLING:</t>
  </si>
  <si>
    <t>XLOOKUP vs VLOOKUP:</t>
  </si>
  <si>
    <t>VLOOKUP uses a column index number.</t>
  </si>
  <si>
    <t>XLOOKUP directly specifies the</t>
  </si>
  <si>
    <t>return range.</t>
  </si>
  <si>
    <t>BUSINESS USE:</t>
  </si>
  <si>
    <t>Two datasets can be connected using</t>
  </si>
  <si>
    <t>a common key such as Product_ID.</t>
  </si>
  <si>
    <t>Sales Data</t>
  </si>
  <si>
    <t xml:space="preserve">      ↓</t>
  </si>
  <si>
    <t>Product Master</t>
  </si>
  <si>
    <t>Product Details</t>
  </si>
  <si>
    <t>Sales Analysis</t>
  </si>
  <si>
    <t>KEY LEARNING:</t>
  </si>
  <si>
    <t>Lookup functions are used to connect</t>
  </si>
  <si>
    <t>related datasets and enrich data before</t>
  </si>
  <si>
    <t>performing analysis.</t>
  </si>
  <si>
    <t>Status: COMPLETED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</si>
</sst>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Border="1" applyAlignment="1"/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0" fontId="0" fillId="2" borderId="1" xfId="0" applyFill="1" applyBorder="1"/>
    <xf numFmtId="0" fontId="0" fillId="2" borderId="1" xfId="0" applyFill="1" applyBorder="1" applyAlignment="1"/>
    <xf numFmtId="0" fontId="0" fillId="0" borderId="1" xfId="0" applyBorder="1"/>
    <xf numFmtId="0" fontId="1" fillId="3" borderId="1" xfId="0" applyFont="1" applyFill="1" applyBorder="1" applyAlignment="1"/>
  </cellXfs>
  <cellStyles count="1">
    <cellStyle name="Normal" xfId="0" builtinId="0"/>
  </cellStyles>
  <dxfs count="12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120" zoomScaleNormal="120" workbookViewId="0">
      <selection activeCell="K8" sqref="K8"/>
    </sheetView>
  </sheetViews>
  <sheetFormatPr defaultRowHeight="15" x14ac:dyDescent="0.25"/>
  <cols>
    <col min="1" max="1" width="9" style="1" bestFit="1" customWidth="1"/>
    <col min="2" max="2" width="10.7109375" style="1" bestFit="1" customWidth="1"/>
    <col min="3" max="3" width="9.85546875" style="1" bestFit="1" customWidth="1"/>
    <col min="4" max="4" width="10.28515625" style="1" bestFit="1" customWidth="1"/>
    <col min="5" max="5" width="8.7109375" style="1" bestFit="1" customWidth="1"/>
    <col min="6" max="6" width="17.28515625" style="1" bestFit="1" customWidth="1"/>
    <col min="7" max="7" width="17.85546875" style="1" bestFit="1" customWidth="1"/>
    <col min="8" max="8" width="10.5703125" style="1" bestFit="1" customWidth="1"/>
    <col min="9" max="10" width="17.85546875" style="1" bestFit="1" customWidth="1"/>
    <col min="11" max="16384" width="9.140625" style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34</v>
      </c>
      <c r="G1" s="4" t="s">
        <v>44</v>
      </c>
      <c r="H1" s="4" t="s">
        <v>45</v>
      </c>
      <c r="I1" s="4" t="s">
        <v>53</v>
      </c>
    </row>
    <row r="2" spans="1:9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2</v>
      </c>
      <c r="F2" s="8" t="str">
        <f>_xlfn.XLOOKUP(B2,Product_Master!$A$2:$A$6,Product_Master!$C$2:$C$6)</f>
        <v>Electronics</v>
      </c>
      <c r="G2" s="8">
        <f>_xlfn.XLOOKUP(B2,Product_Master!$A$2:$A$6,Product_Master!$D$2:$D$6,"Product Not Found")</f>
        <v>55000</v>
      </c>
      <c r="H2" s="8">
        <f>G2*E2</f>
        <v>110000</v>
      </c>
      <c r="I2" s="8" t="str">
        <f>_xlfn.XLOOKUP(B2,Product_Master!$A$2:$A$6,Product_Master!$B$2:$B$6,"Product Not Found")</f>
        <v>Laptop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3">
        <v>5</v>
      </c>
      <c r="F3" s="8" t="str">
        <f>_xlfn.XLOOKUP(B3,Product_Master!$A$2:$A$6,Product_Master!$C$2:$C$6)</f>
        <v>Clothing</v>
      </c>
      <c r="G3" s="8">
        <f>_xlfn.XLOOKUP(B3,Product_Master!$A$2:$A$6,Product_Master!$D$2:$D$6,"Product Not Found")</f>
        <v>1200</v>
      </c>
      <c r="H3" s="8">
        <f>G3*E3</f>
        <v>6000</v>
      </c>
      <c r="I3" s="8" t="str">
        <f>_xlfn.XLOOKUP(B3,Product_Master!$A$2:$A$6,Product_Master!$B$2:$B$6,"Product Not Found")</f>
        <v>Shirt</v>
      </c>
    </row>
    <row r="4" spans="1:9" x14ac:dyDescent="0.25">
      <c r="A4" s="2" t="s">
        <v>13</v>
      </c>
      <c r="B4" s="2" t="s">
        <v>14</v>
      </c>
      <c r="C4" s="2" t="s">
        <v>15</v>
      </c>
      <c r="D4" s="2" t="s">
        <v>16</v>
      </c>
      <c r="E4" s="3">
        <v>3</v>
      </c>
      <c r="F4" s="8" t="str">
        <f>_xlfn.XLOOKUP(B4,Product_Master!$A$2:$A$6,Product_Master!$C$2:$C$6)</f>
        <v>Furniture</v>
      </c>
      <c r="G4" s="8">
        <f>_xlfn.XLOOKUP(B4,Product_Master!$A$2:$A$6,Product_Master!$D$2:$D$6,"Product Not Found")</f>
        <v>5000</v>
      </c>
      <c r="H4" s="8">
        <f>G4*E4</f>
        <v>15000</v>
      </c>
      <c r="I4" s="8" t="str">
        <f>_xlfn.XLOOKUP(B4,Product_Master!$A$2:$A$6,Product_Master!$B$2:$B$6,"Product Not Found")</f>
        <v>Chair</v>
      </c>
    </row>
    <row r="5" spans="1:9" x14ac:dyDescent="0.25">
      <c r="A5" s="2" t="s">
        <v>17</v>
      </c>
      <c r="B5" s="2" t="s">
        <v>6</v>
      </c>
      <c r="C5" s="2" t="s">
        <v>7</v>
      </c>
      <c r="D5" s="2" t="s">
        <v>8</v>
      </c>
      <c r="E5" s="3">
        <v>1</v>
      </c>
      <c r="F5" s="8" t="str">
        <f>_xlfn.XLOOKUP(B5,Product_Master!$A$2:$A$6,Product_Master!$C$2:$C$6)</f>
        <v>Electronics</v>
      </c>
      <c r="G5" s="8">
        <f>_xlfn.XLOOKUP(B5,Product_Master!$A$2:$A$6,Product_Master!$D$2:$D$6,"Product Not Found")</f>
        <v>55000</v>
      </c>
      <c r="H5" s="8">
        <f>G5*E5</f>
        <v>55000</v>
      </c>
      <c r="I5" s="8" t="str">
        <f>_xlfn.XLOOKUP(B5,Product_Master!$A$2:$A$6,Product_Master!$B$2:$B$6,"Product Not Found")</f>
        <v>Laptop</v>
      </c>
    </row>
    <row r="6" spans="1:9" x14ac:dyDescent="0.25">
      <c r="A6" s="2" t="s">
        <v>18</v>
      </c>
      <c r="B6" s="2" t="s">
        <v>19</v>
      </c>
      <c r="C6" s="2" t="s">
        <v>20</v>
      </c>
      <c r="D6" s="2" t="s">
        <v>12</v>
      </c>
      <c r="E6" s="3">
        <v>4</v>
      </c>
      <c r="F6" s="8" t="str">
        <f>_xlfn.XLOOKUP(B6,Product_Master!$A$2:$A$6,Product_Master!$C$2:$C$6)</f>
        <v>Furniture</v>
      </c>
      <c r="G6" s="8">
        <f>_xlfn.XLOOKUP(B6,Product_Master!$A$2:$A$6,Product_Master!$D$2:$D$6,"Product Not Found")</f>
        <v>5000</v>
      </c>
      <c r="H6" s="8">
        <f>G6*E6</f>
        <v>20000</v>
      </c>
      <c r="I6" s="8" t="str">
        <f>_xlfn.XLOOKUP(B6,Product_Master!$A$2:$A$6,Product_Master!$B$2:$B$6,"Product Not Found")</f>
        <v>Table</v>
      </c>
    </row>
    <row r="7" spans="1:9" x14ac:dyDescent="0.25">
      <c r="A7" s="2" t="s">
        <v>21</v>
      </c>
      <c r="B7" s="2" t="s">
        <v>22</v>
      </c>
      <c r="C7" s="2" t="s">
        <v>23</v>
      </c>
      <c r="D7" s="2" t="s">
        <v>16</v>
      </c>
      <c r="E7" s="3">
        <v>2</v>
      </c>
      <c r="F7" s="8" t="str">
        <f>_xlfn.XLOOKUP(B7,Product_Master!$A$2:$A$6,Product_Master!$C$2:$C$6)</f>
        <v>Electronics</v>
      </c>
      <c r="G7" s="8">
        <f>_xlfn.XLOOKUP(B7,Product_Master!$A$2:$A$6,Product_Master!$D$2:$D$6,"Product Not Found")</f>
        <v>18000</v>
      </c>
      <c r="H7" s="8">
        <f>G7*E7</f>
        <v>36000</v>
      </c>
      <c r="I7" s="8" t="str">
        <f>_xlfn.XLOOKUP(B7,Product_Master!$A$2:$A$6,Product_Master!$B$2:$B$6,"Product Not Found")</f>
        <v>Monitor</v>
      </c>
    </row>
    <row r="8" spans="1:9" x14ac:dyDescent="0.25">
      <c r="A8" s="2" t="s">
        <v>24</v>
      </c>
      <c r="B8" s="2" t="s">
        <v>14</v>
      </c>
      <c r="C8" s="2" t="s">
        <v>7</v>
      </c>
      <c r="D8" s="2" t="s">
        <v>12</v>
      </c>
      <c r="E8" s="3">
        <v>5</v>
      </c>
      <c r="F8" s="8" t="str">
        <f>_xlfn.XLOOKUP(B8,Product_Master!$A$2:$A$6,Product_Master!$C$2:$C$6)</f>
        <v>Furniture</v>
      </c>
      <c r="G8" s="8">
        <f>_xlfn.XLOOKUP(B8,Product_Master!$A$2:$A$6,Product_Master!$D$2:$D$6,"Product Not Found")</f>
        <v>5000</v>
      </c>
      <c r="H8" s="8">
        <f>G8*E8</f>
        <v>25000</v>
      </c>
      <c r="I8" s="8" t="str">
        <f>_xlfn.XLOOKUP(B8,Product_Master!$A$2:$A$6,Product_Master!$B$2:$B$6,"Product Not Found")</f>
        <v>Chair</v>
      </c>
    </row>
    <row r="9" spans="1:9" x14ac:dyDescent="0.25">
      <c r="A9" s="2" t="s">
        <v>25</v>
      </c>
      <c r="B9" s="2" t="s">
        <v>10</v>
      </c>
      <c r="C9" s="2" t="s">
        <v>15</v>
      </c>
      <c r="D9" s="2" t="s">
        <v>8</v>
      </c>
      <c r="E9" s="3">
        <v>8</v>
      </c>
      <c r="F9" s="8" t="str">
        <f>_xlfn.XLOOKUP(B9,Product_Master!$A$2:$A$6,Product_Master!$C$2:$C$6)</f>
        <v>Clothing</v>
      </c>
      <c r="G9" s="8">
        <f>_xlfn.XLOOKUP(B9,Product_Master!$A$2:$A$6,Product_Master!$D$2:$D$6,"Product Not Found")</f>
        <v>1200</v>
      </c>
      <c r="H9" s="8">
        <f>G9*E9</f>
        <v>9600</v>
      </c>
      <c r="I9" s="8" t="str">
        <f>_xlfn.XLOOKUP(B9,Product_Master!$A$2:$A$6,Product_Master!$B$2:$B$6,"Product Not Found")</f>
        <v>Shirt</v>
      </c>
    </row>
    <row r="10" spans="1:9" x14ac:dyDescent="0.25">
      <c r="A10" s="2" t="s">
        <v>26</v>
      </c>
      <c r="B10" s="2" t="s">
        <v>22</v>
      </c>
      <c r="C10" s="2" t="s">
        <v>20</v>
      </c>
      <c r="D10" s="2" t="s">
        <v>16</v>
      </c>
      <c r="E10" s="3">
        <v>3</v>
      </c>
      <c r="F10" s="8" t="str">
        <f>_xlfn.XLOOKUP(B10,Product_Master!$A$2:$A$6,Product_Master!$C$2:$C$6)</f>
        <v>Electronics</v>
      </c>
      <c r="G10" s="8">
        <f>_xlfn.XLOOKUP(B10,Product_Master!$A$2:$A$6,Product_Master!$D$2:$D$6,"Product Not Found")</f>
        <v>18000</v>
      </c>
      <c r="H10" s="8">
        <f>G10*E10</f>
        <v>54000</v>
      </c>
      <c r="I10" s="8" t="str">
        <f>_xlfn.XLOOKUP(B10,Product_Master!$A$2:$A$6,Product_Master!$B$2:$B$6,"Product Not Found")</f>
        <v>Monitor</v>
      </c>
    </row>
    <row r="11" spans="1:9" x14ac:dyDescent="0.25">
      <c r="A11" s="2" t="s">
        <v>27</v>
      </c>
      <c r="B11" s="2" t="s">
        <v>19</v>
      </c>
      <c r="C11" s="2" t="s">
        <v>11</v>
      </c>
      <c r="D11" s="2" t="s">
        <v>8</v>
      </c>
      <c r="E11" s="3">
        <v>4</v>
      </c>
      <c r="F11" s="8" t="str">
        <f>_xlfn.XLOOKUP(B11,Product_Master!$A$2:$A$6,Product_Master!$C$2:$C$6)</f>
        <v>Furniture</v>
      </c>
      <c r="G11" s="8">
        <f>_xlfn.XLOOKUP(B11,Product_Master!$A$2:$A$6,Product_Master!$D$2:$D$6,"Product Not Found")</f>
        <v>5000</v>
      </c>
      <c r="H11" s="8">
        <f>G11*E11</f>
        <v>20000</v>
      </c>
      <c r="I11" s="8" t="str">
        <f>_xlfn.XLOOKUP(B11,Product_Master!$A$2:$A$6,Product_Master!$B$2:$B$6,"Product Not Found")</f>
        <v>Table</v>
      </c>
    </row>
    <row r="12" spans="1:9" x14ac:dyDescent="0.25">
      <c r="A12" s="2" t="s">
        <v>28</v>
      </c>
      <c r="B12" s="2" t="s">
        <v>6</v>
      </c>
      <c r="C12" s="2" t="s">
        <v>23</v>
      </c>
      <c r="D12" s="2" t="s">
        <v>12</v>
      </c>
      <c r="E12" s="3">
        <v>2</v>
      </c>
      <c r="F12" s="8" t="str">
        <f>_xlfn.XLOOKUP(B12,Product_Master!$A$2:$A$6,Product_Master!$C$2:$C$6)</f>
        <v>Electronics</v>
      </c>
      <c r="G12" s="8">
        <f>_xlfn.XLOOKUP(B12,Product_Master!$A$2:$A$6,Product_Master!$D$2:$D$6,"Product Not Found")</f>
        <v>55000</v>
      </c>
      <c r="H12" s="8">
        <f>G12*E12</f>
        <v>110000</v>
      </c>
      <c r="I12" s="8" t="str">
        <f>_xlfn.XLOOKUP(B12,Product_Master!$A$2:$A$6,Product_Master!$B$2:$B$6,"Product Not Found")</f>
        <v>Laptop</v>
      </c>
    </row>
    <row r="13" spans="1:9" x14ac:dyDescent="0.25">
      <c r="A13" s="2" t="s">
        <v>29</v>
      </c>
      <c r="B13" s="2" t="s">
        <v>10</v>
      </c>
      <c r="C13" s="2" t="s">
        <v>7</v>
      </c>
      <c r="D13" s="2" t="s">
        <v>16</v>
      </c>
      <c r="E13" s="3">
        <v>6</v>
      </c>
      <c r="F13" s="8" t="str">
        <f>_xlfn.XLOOKUP(B13,Product_Master!$A$2:$A$6,Product_Master!$C$2:$C$6)</f>
        <v>Clothing</v>
      </c>
      <c r="G13" s="8">
        <f>_xlfn.XLOOKUP(B13,Product_Master!$A$2:$A$6,Product_Master!$D$2:$D$6,"Product Not Found")</f>
        <v>1200</v>
      </c>
      <c r="H13" s="8">
        <f>G13*E13</f>
        <v>7200</v>
      </c>
      <c r="I13" s="8" t="str">
        <f>_xlfn.XLOOKUP(B13,Product_Master!$A$2:$A$6,Product_Master!$B$2:$B$6,"Product Not Found")</f>
        <v>Shirt</v>
      </c>
    </row>
    <row r="14" spans="1:9" x14ac:dyDescent="0.25">
      <c r="A14" s="2" t="s">
        <v>30</v>
      </c>
      <c r="B14" s="2" t="s">
        <v>14</v>
      </c>
      <c r="C14" s="2" t="s">
        <v>15</v>
      </c>
      <c r="D14" s="2" t="s">
        <v>12</v>
      </c>
      <c r="E14" s="3">
        <v>2</v>
      </c>
      <c r="F14" s="8" t="str">
        <f>_xlfn.XLOOKUP(B14,Product_Master!$A$2:$A$6,Product_Master!$C$2:$C$6)</f>
        <v>Furniture</v>
      </c>
      <c r="G14" s="8">
        <f>_xlfn.XLOOKUP(B14,Product_Master!$A$2:$A$6,Product_Master!$D$2:$D$6,"Product Not Found")</f>
        <v>5000</v>
      </c>
      <c r="H14" s="8">
        <f>G14*E14</f>
        <v>10000</v>
      </c>
      <c r="I14" s="8" t="str">
        <f>_xlfn.XLOOKUP(B14,Product_Master!$A$2:$A$6,Product_Master!$B$2:$B$6,"Product Not Found")</f>
        <v>Chair</v>
      </c>
    </row>
    <row r="15" spans="1:9" x14ac:dyDescent="0.25">
      <c r="A15" s="2" t="s">
        <v>31</v>
      </c>
      <c r="B15" s="2" t="s">
        <v>19</v>
      </c>
      <c r="C15" s="2" t="s">
        <v>20</v>
      </c>
      <c r="D15" s="2" t="s">
        <v>8</v>
      </c>
      <c r="E15" s="3">
        <v>3</v>
      </c>
      <c r="F15" s="8" t="str">
        <f>_xlfn.XLOOKUP(B15,Product_Master!$A$2:$A$6,Product_Master!$C$2:$C$6)</f>
        <v>Furniture</v>
      </c>
      <c r="G15" s="8">
        <f>_xlfn.XLOOKUP(B15,Product_Master!$A$2:$A$6,Product_Master!$D$2:$D$6,"Product Not Found")</f>
        <v>5000</v>
      </c>
      <c r="H15" s="8">
        <f>G15*E15</f>
        <v>15000</v>
      </c>
      <c r="I15" s="8" t="str">
        <f>_xlfn.XLOOKUP(B15,Product_Master!$A$2:$A$6,Product_Master!$B$2:$B$6,"Product Not Found")</f>
        <v>Table</v>
      </c>
    </row>
    <row r="16" spans="1:9" x14ac:dyDescent="0.25">
      <c r="A16" s="2" t="s">
        <v>32</v>
      </c>
      <c r="B16" s="2" t="s">
        <v>22</v>
      </c>
      <c r="C16" s="2" t="s">
        <v>11</v>
      </c>
      <c r="D16" s="2" t="s">
        <v>16</v>
      </c>
      <c r="E16" s="3">
        <v>1</v>
      </c>
      <c r="F16" s="8" t="str">
        <f>_xlfn.XLOOKUP(B16,Product_Master!$A$2:$A$6,Product_Master!$C$2:$C$6)</f>
        <v>Electronics</v>
      </c>
      <c r="G16" s="8">
        <f>_xlfn.XLOOKUP(B16,Product_Master!$A$2:$A$6,Product_Master!$D$2:$D$6,"Product Not Found")</f>
        <v>18000</v>
      </c>
      <c r="H16" s="8">
        <f>G16*E16</f>
        <v>18000</v>
      </c>
      <c r="I16" s="8" t="str">
        <f>_xlfn.XLOOKUP(B16,Product_Master!$A$2:$A$6,Product_Master!$B$2:$B$6,"Product Not Found")</f>
        <v>Monitor</v>
      </c>
    </row>
    <row r="17" spans="1:9" x14ac:dyDescent="0.25">
      <c r="A17" s="6" t="s">
        <v>46</v>
      </c>
      <c r="B17" s="6" t="s">
        <v>47</v>
      </c>
      <c r="C17" s="6" t="s">
        <v>48</v>
      </c>
      <c r="D17" s="6" t="s">
        <v>49</v>
      </c>
      <c r="E17" s="7">
        <v>2</v>
      </c>
      <c r="F17" s="8" t="str">
        <f>_xlfn.XLOOKUP(B17,Product_Master!$A$2:$A$6,Product_Master!$C$2:$C$6,"Product not found")</f>
        <v>Product not found</v>
      </c>
      <c r="G17" s="8" t="str">
        <f>_xlfn.XLOOKUP(B17,Product_Master!$A$2:$A$6,Product_Master!$D$2:$D$6,"Product Not Found")</f>
        <v>Product Not Found</v>
      </c>
      <c r="H17" s="8"/>
      <c r="I17" s="8" t="str">
        <f>_xlfn.XLOOKUP(B17,Product_Master!$A$2:$A$6,Product_Master!$B$2:$B$6,"Product Not Found")</f>
        <v>Product Not Found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849D7-584E-4DE3-96BB-0C912B67A0D1}">
  <dimension ref="A1:D6"/>
  <sheetViews>
    <sheetView zoomScale="132" zoomScaleNormal="150" workbookViewId="0">
      <selection activeCell="J12" sqref="J12"/>
    </sheetView>
  </sheetViews>
  <sheetFormatPr defaultRowHeight="15" x14ac:dyDescent="0.25"/>
  <cols>
    <col min="1" max="1" width="10.7109375" style="1" bestFit="1" customWidth="1"/>
    <col min="2" max="2" width="8.140625" style="1" bestFit="1" customWidth="1"/>
    <col min="3" max="3" width="10.5703125" style="1" bestFit="1" customWidth="1"/>
    <col min="4" max="4" width="10.28515625" style="1" bestFit="1" customWidth="1"/>
    <col min="5" max="16384" width="9.140625" style="1"/>
  </cols>
  <sheetData>
    <row r="1" spans="1:4" x14ac:dyDescent="0.25">
      <c r="A1" s="4" t="s">
        <v>1</v>
      </c>
      <c r="B1" s="4" t="s">
        <v>33</v>
      </c>
      <c r="C1" s="4" t="s">
        <v>34</v>
      </c>
      <c r="D1" s="5" t="s">
        <v>35</v>
      </c>
    </row>
    <row r="2" spans="1:4" x14ac:dyDescent="0.25">
      <c r="A2" s="2" t="s">
        <v>6</v>
      </c>
      <c r="B2" s="2" t="s">
        <v>36</v>
      </c>
      <c r="C2" s="2" t="s">
        <v>37</v>
      </c>
      <c r="D2" s="3">
        <v>55000</v>
      </c>
    </row>
    <row r="3" spans="1:4" x14ac:dyDescent="0.25">
      <c r="A3" s="2" t="s">
        <v>14</v>
      </c>
      <c r="B3" s="2" t="s">
        <v>38</v>
      </c>
      <c r="C3" s="2" t="s">
        <v>39</v>
      </c>
      <c r="D3" s="3">
        <v>5000</v>
      </c>
    </row>
    <row r="4" spans="1:4" x14ac:dyDescent="0.25">
      <c r="A4" s="2" t="s">
        <v>10</v>
      </c>
      <c r="B4" s="2" t="s">
        <v>40</v>
      </c>
      <c r="C4" s="2" t="s">
        <v>41</v>
      </c>
      <c r="D4" s="3">
        <v>1200</v>
      </c>
    </row>
    <row r="5" spans="1:4" x14ac:dyDescent="0.25">
      <c r="A5" s="2" t="s">
        <v>19</v>
      </c>
      <c r="B5" s="2" t="s">
        <v>42</v>
      </c>
      <c r="C5" s="2" t="s">
        <v>39</v>
      </c>
      <c r="D5" s="3">
        <v>5000</v>
      </c>
    </row>
    <row r="6" spans="1:4" x14ac:dyDescent="0.25">
      <c r="A6" s="2" t="s">
        <v>22</v>
      </c>
      <c r="B6" s="2" t="s">
        <v>43</v>
      </c>
      <c r="C6" s="2" t="s">
        <v>37</v>
      </c>
      <c r="D6" s="3">
        <v>18000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8D580-B8EB-4013-B263-DF86029FA4AF}">
  <dimension ref="A1:D19"/>
  <sheetViews>
    <sheetView workbookViewId="0">
      <selection activeCell="J10" sqref="J10"/>
    </sheetView>
  </sheetViews>
  <sheetFormatPr defaultRowHeight="15" x14ac:dyDescent="0.25"/>
  <cols>
    <col min="1" max="1" width="13.140625" style="1" bestFit="1" customWidth="1"/>
    <col min="2" max="2" width="15.42578125" style="1" bestFit="1" customWidth="1"/>
    <col min="3" max="3" width="17.28515625" style="1" bestFit="1" customWidth="1"/>
    <col min="4" max="4" width="10.140625" style="1" bestFit="1" customWidth="1"/>
    <col min="5" max="5" width="8.28515625" style="1" customWidth="1"/>
    <col min="6" max="6" width="8.42578125" style="1" customWidth="1"/>
    <col min="7" max="7" width="9.5703125" style="1" customWidth="1"/>
    <col min="8" max="8" width="10.28515625" style="1" customWidth="1"/>
    <col min="9" max="9" width="11.28515625" style="1" bestFit="1" customWidth="1"/>
    <col min="10" max="16384" width="9.140625" style="1"/>
  </cols>
  <sheetData>
    <row r="1" spans="1:4" x14ac:dyDescent="0.25">
      <c r="A1" s="4" t="s">
        <v>34</v>
      </c>
      <c r="B1" s="5" t="s">
        <v>45</v>
      </c>
      <c r="C1" s="5" t="s">
        <v>50</v>
      </c>
    </row>
    <row r="2" spans="1:4" x14ac:dyDescent="0.25">
      <c r="A2" s="2" t="s">
        <v>37</v>
      </c>
      <c r="B2" s="3">
        <f>SUMIFS(Sales!H2:H16,Sales!F2:F16,"Electronics")</f>
        <v>383000</v>
      </c>
      <c r="C2" s="3">
        <f>SUMIF(Sales!F2:F17,"Electronics",Sales!E2:E17)</f>
        <v>11</v>
      </c>
    </row>
    <row r="3" spans="1:4" x14ac:dyDescent="0.25">
      <c r="A3" s="2" t="s">
        <v>39</v>
      </c>
      <c r="B3" s="3">
        <f>SUMIFS(Sales!H2:H16,Sales!F2:F16,"Furniture")</f>
        <v>105000</v>
      </c>
      <c r="C3" s="3">
        <f>SUMIF(Sales!F2:F17,"Furniture",Sales!E2:E17)</f>
        <v>21</v>
      </c>
    </row>
    <row r="4" spans="1:4" x14ac:dyDescent="0.25">
      <c r="A4" s="2" t="s">
        <v>41</v>
      </c>
      <c r="B4" s="3">
        <f>SUMIF(Sales!F2:F16,"Clothing",Sales!H2:H16)</f>
        <v>22800</v>
      </c>
      <c r="C4" s="3">
        <f>SUMIF(Sales!F2:F17,"clothing",Sales!E2:E17)</f>
        <v>19</v>
      </c>
    </row>
    <row r="5" spans="1:4" x14ac:dyDescent="0.25">
      <c r="A5" s="9" t="s">
        <v>51</v>
      </c>
      <c r="B5" s="8">
        <f>MAX(B2:B4)</f>
        <v>383000</v>
      </c>
    </row>
    <row r="7" spans="1:4" x14ac:dyDescent="0.25">
      <c r="A7" s="14" t="s">
        <v>52</v>
      </c>
      <c r="B7" s="10"/>
    </row>
    <row r="8" spans="1:4" x14ac:dyDescent="0.25">
      <c r="A8" s="4" t="s">
        <v>33</v>
      </c>
      <c r="B8" s="5" t="s">
        <v>50</v>
      </c>
      <c r="C8" s="5" t="s">
        <v>45</v>
      </c>
    </row>
    <row r="9" spans="1:4" x14ac:dyDescent="0.25">
      <c r="A9" s="2" t="s">
        <v>36</v>
      </c>
      <c r="B9" s="3">
        <f>SUMIF(Sales!I2:I17,"laptop",Sales!E2:E17)</f>
        <v>5</v>
      </c>
      <c r="C9" s="3">
        <f>SUMIF(Sales!I2:I17,"Laptop",Sales!H2:H17)</f>
        <v>275000</v>
      </c>
    </row>
    <row r="10" spans="1:4" x14ac:dyDescent="0.25">
      <c r="A10" s="2" t="s">
        <v>38</v>
      </c>
      <c r="B10" s="3">
        <f>SUMIF(Sales!J3:J18,"chair",Sales!E3:E18)</f>
        <v>0</v>
      </c>
      <c r="C10" s="3">
        <f>SUMIF(Sales!J3:J18,"chair",Sales!I3:I18)</f>
        <v>0</v>
      </c>
    </row>
    <row r="11" spans="1:4" x14ac:dyDescent="0.25">
      <c r="A11" s="2" t="s">
        <v>40</v>
      </c>
      <c r="B11" s="3">
        <f>SUMIF(Sales!J2:J19,"shirt",Sales!E2:E19)</f>
        <v>0</v>
      </c>
      <c r="C11" s="3">
        <f>SUMIF(Sales!J4:J19,"shirt",Sales!I4:I19)</f>
        <v>0</v>
      </c>
    </row>
    <row r="12" spans="1:4" x14ac:dyDescent="0.25">
      <c r="A12" s="2" t="s">
        <v>42</v>
      </c>
      <c r="B12" s="3">
        <f>SUMIF(Sales!J2:J20,"table",Sales!E2:E20)</f>
        <v>0</v>
      </c>
      <c r="C12" s="3">
        <f>SUMIF(Sales!J5:J20,"table",Sales!I5:I20)</f>
        <v>0</v>
      </c>
    </row>
    <row r="13" spans="1:4" x14ac:dyDescent="0.25">
      <c r="A13" s="2" t="s">
        <v>43</v>
      </c>
      <c r="B13" s="3">
        <f>SUMIF(Sales!J6:J21,"Monitor",Sales!E6:E21)</f>
        <v>0</v>
      </c>
      <c r="C13" s="3">
        <f>SUMIF(Sales!J6:J21,"monitor",Sales!I6:I21)</f>
        <v>0</v>
      </c>
    </row>
    <row r="14" spans="1:4" x14ac:dyDescent="0.25">
      <c r="A14" s="9" t="s">
        <v>54</v>
      </c>
      <c r="B14" s="8">
        <f>MAX(B9:B13)</f>
        <v>5</v>
      </c>
      <c r="C14" s="8">
        <f>MAX(C9:C13)</f>
        <v>275000</v>
      </c>
    </row>
    <row r="16" spans="1:4" x14ac:dyDescent="0.25">
      <c r="A16" s="9" t="s">
        <v>55</v>
      </c>
      <c r="B16" s="11" t="s">
        <v>56</v>
      </c>
      <c r="C16" s="11" t="s">
        <v>57</v>
      </c>
      <c r="D16" s="12" t="s">
        <v>35</v>
      </c>
    </row>
    <row r="17" spans="1:4" x14ac:dyDescent="0.25">
      <c r="A17" s="2" t="s">
        <v>6</v>
      </c>
      <c r="B17" s="13" t="str">
        <f>_xlfn.XLOOKUP(A17,Product_Master!A2:A6,Product_Master!B2:B6)</f>
        <v>Laptop</v>
      </c>
      <c r="C17" s="13" t="str">
        <f>_xlfn.XLOOKUP(B17,Product_Master!B2:B6,Product_Master!C2:C6)</f>
        <v>Electronics</v>
      </c>
      <c r="D17" s="13">
        <f>_xlfn.XLOOKUP(C17,Product_Master!C2:C6,Product_Master!D2:D6)</f>
        <v>55000</v>
      </c>
    </row>
    <row r="18" spans="1:4" x14ac:dyDescent="0.25">
      <c r="A18"/>
      <c r="B18"/>
      <c r="C18"/>
    </row>
    <row r="19" spans="1:4" x14ac:dyDescent="0.25">
      <c r="A19"/>
      <c r="B19"/>
      <c r="C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7849-41D6-45EE-9648-97DD56247A08}">
  <dimension ref="A1:A58"/>
  <sheetViews>
    <sheetView tabSelected="1" workbookViewId="0">
      <selection activeCell="H15" sqref="A1:XFD1048576"/>
    </sheetView>
  </sheetViews>
  <sheetFormatPr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8" spans="1:1" x14ac:dyDescent="0.25">
      <c r="A8" t="s">
        <v>63</v>
      </c>
    </row>
    <row r="10" spans="1:1" x14ac:dyDescent="0.25">
      <c r="A10" t="e" cm="1">
        <f t="array" ref="A10">_xlfn.XLOOKUP(lookup_value, lookup_array, return_array)</f>
        <v>#NAME?</v>
      </c>
    </row>
    <row r="12" spans="1:1" x14ac:dyDescent="0.25">
      <c r="A12" t="s">
        <v>64</v>
      </c>
    </row>
    <row r="14" spans="1:1" x14ac:dyDescent="0.25">
      <c r="A14" t="s">
        <v>65</v>
      </c>
    </row>
    <row r="15" spans="1:1" x14ac:dyDescent="0.25">
      <c r="A15" t="s">
        <v>66</v>
      </c>
    </row>
    <row r="17" spans="1:1" x14ac:dyDescent="0.25">
      <c r="A17" t="s">
        <v>67</v>
      </c>
    </row>
    <row r="19" spans="1:1" x14ac:dyDescent="0.25">
      <c r="A19" t="s">
        <v>1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68</v>
      </c>
    </row>
    <row r="23" spans="1:1" x14ac:dyDescent="0.25">
      <c r="A23" t="s">
        <v>70</v>
      </c>
    </row>
    <row r="25" spans="1:1" x14ac:dyDescent="0.25">
      <c r="A25" t="s">
        <v>71</v>
      </c>
    </row>
    <row r="27" spans="1:1" x14ac:dyDescent="0.25">
      <c r="A27">
        <f>_xlfn.XLOOKUP(B2,A:A,B:B,"Product Not Found")</f>
        <v>0</v>
      </c>
    </row>
    <row r="29" spans="1:1" x14ac:dyDescent="0.25">
      <c r="A29" t="s">
        <v>72</v>
      </c>
    </row>
    <row r="31" spans="1:1" x14ac:dyDescent="0.25">
      <c r="A31" t="s">
        <v>73</v>
      </c>
    </row>
    <row r="33" spans="1:1" x14ac:dyDescent="0.25">
      <c r="A33" t="s">
        <v>74</v>
      </c>
    </row>
    <row r="34" spans="1:1" x14ac:dyDescent="0.25">
      <c r="A34" t="s">
        <v>75</v>
      </c>
    </row>
    <row r="36" spans="1:1" x14ac:dyDescent="0.25">
      <c r="A36" t="s">
        <v>76</v>
      </c>
    </row>
    <row r="38" spans="1:1" x14ac:dyDescent="0.25">
      <c r="A38" t="s">
        <v>77</v>
      </c>
    </row>
    <row r="39" spans="1:1" x14ac:dyDescent="0.25">
      <c r="A39" t="s">
        <v>78</v>
      </c>
    </row>
    <row r="41" spans="1:1" x14ac:dyDescent="0.25">
      <c r="A41" t="s">
        <v>64</v>
      </c>
    </row>
    <row r="43" spans="1:1" x14ac:dyDescent="0.25">
      <c r="A43" t="s">
        <v>79</v>
      </c>
    </row>
    <row r="44" spans="1:1" x14ac:dyDescent="0.25">
      <c r="A44" t="s">
        <v>1</v>
      </c>
    </row>
    <row r="45" spans="1:1" x14ac:dyDescent="0.25">
      <c r="A45" t="s">
        <v>80</v>
      </c>
    </row>
    <row r="46" spans="1:1" x14ac:dyDescent="0.25">
      <c r="A46" t="s">
        <v>81</v>
      </c>
    </row>
    <row r="47" spans="1:1" x14ac:dyDescent="0.25">
      <c r="A47" t="s">
        <v>80</v>
      </c>
    </row>
    <row r="48" spans="1:1" x14ac:dyDescent="0.25">
      <c r="A48" t="s">
        <v>82</v>
      </c>
    </row>
    <row r="49" spans="1:1" x14ac:dyDescent="0.25">
      <c r="A49" t="s">
        <v>80</v>
      </c>
    </row>
    <row r="50" spans="1:1" x14ac:dyDescent="0.25">
      <c r="A50" t="s">
        <v>83</v>
      </c>
    </row>
    <row r="52" spans="1:1" x14ac:dyDescent="0.25">
      <c r="A52" t="s">
        <v>84</v>
      </c>
    </row>
    <row r="54" spans="1:1" x14ac:dyDescent="0.25">
      <c r="A54" t="s">
        <v>85</v>
      </c>
    </row>
    <row r="55" spans="1:1" x14ac:dyDescent="0.25">
      <c r="A55" t="s">
        <v>86</v>
      </c>
    </row>
    <row r="56" spans="1:1" x14ac:dyDescent="0.25">
      <c r="A56" t="s">
        <v>87</v>
      </c>
    </row>
    <row r="58" spans="1:1" x14ac:dyDescent="0.25">
      <c r="A5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Product_Master</vt:lpstr>
      <vt:lpstr>Analysis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2026-09-25T13:11:02Z</dcterms:modified>
</cp:coreProperties>
</file>