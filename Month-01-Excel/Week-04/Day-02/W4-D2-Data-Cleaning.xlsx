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4\Day-02\"/>
    </mc:Choice>
  </mc:AlternateContent>
  <xr:revisionPtr revIDLastSave="0" documentId="13_ncr:1_{D170043E-44BB-4F6C-AE51-0836C9E524D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 Data" sheetId="1" r:id="rId1"/>
    <sheet name="Notes" sheetId="2" r:id="rId2"/>
  </sheets>
  <definedNames>
    <definedName name="_xlnm._FilterDatabase" localSheetId="0" hidden="1">'Raw Data'!$A$1:$E$15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M3" i="1"/>
  <c r="M4" i="1"/>
  <c r="M5" i="1"/>
  <c r="M6" i="1"/>
  <c r="M7" i="1"/>
  <c r="M8" i="1"/>
  <c r="M9" i="1"/>
  <c r="M10" i="1"/>
  <c r="M11" i="1"/>
  <c r="M12" i="1"/>
  <c r="M13" i="1"/>
  <c r="M1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N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I2" i="1" a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syed muhammad zaid</author>
  </authors>
  <commentList>
    <comment ref="K2" authorId="0" shapeId="0" xr:uid="{D533526B-300C-41A8-8821-4D957431AA9C}">
      <text>
        <r>
          <rPr>
            <b/>
            <sz val="9"/>
            <color indexed="81"/>
            <rFont val="Tahoma"/>
            <charset val="1"/>
          </rPr>
          <t>syed muhammad zaid:</t>
        </r>
        <r>
          <rPr>
            <sz val="9"/>
            <color indexed="81"/>
            <rFont val="Tahoma"/>
            <charset val="1"/>
          </rPr>
          <t xml:space="preserve">
There is a duplicated value I had delete it from sheet.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<sst xmlns="http://schemas.openxmlformats.org/spreadsheetml/2006/main" count="76" uniqueCount="62">
  <si>
    <t>Employee_ID</t>
  </si>
  <si>
    <t>Employee_Name</t>
  </si>
  <si>
    <t>City</t>
  </si>
  <si>
    <t>Department</t>
  </si>
  <si>
    <t>Sales</t>
  </si>
  <si>
    <t>E001</t>
  </si>
  <si>
    <t>Rahul</t>
  </si>
  <si>
    <t>lucknow</t>
  </si>
  <si>
    <t>sales</t>
  </si>
  <si>
    <t>E002</t>
  </si>
  <si>
    <t>PRIYA</t>
  </si>
  <si>
    <t>Delhi</t>
  </si>
  <si>
    <t>SALES</t>
  </si>
  <si>
    <t>E003</t>
  </si>
  <si>
    <t>arman</t>
  </si>
  <si>
    <t>MUMBAI</t>
  </si>
  <si>
    <t>E004</t>
  </si>
  <si>
    <t>Zoya</t>
  </si>
  <si>
    <t>IT</t>
  </si>
  <si>
    <t>E005</t>
  </si>
  <si>
    <t>hamza</t>
  </si>
  <si>
    <t>delhi</t>
  </si>
  <si>
    <t>E006</t>
  </si>
  <si>
    <t>SARA</t>
  </si>
  <si>
    <t>Mumbai</t>
  </si>
  <si>
    <t>HR</t>
  </si>
  <si>
    <t>E007</t>
  </si>
  <si>
    <t>ali</t>
  </si>
  <si>
    <t>DELHI</t>
  </si>
  <si>
    <t>it</t>
  </si>
  <si>
    <t>E008</t>
  </si>
  <si>
    <t>Fatima</t>
  </si>
  <si>
    <t>mumbai</t>
  </si>
  <si>
    <t>E009</t>
  </si>
  <si>
    <t>sameer</t>
  </si>
  <si>
    <t>Lucknow</t>
  </si>
  <si>
    <t>E010</t>
  </si>
  <si>
    <t>AYESHA</t>
  </si>
  <si>
    <t>E011</t>
  </si>
  <si>
    <t>Kabir</t>
  </si>
  <si>
    <t>E012</t>
  </si>
  <si>
    <t>sana</t>
  </si>
  <si>
    <t>E013</t>
  </si>
  <si>
    <t>Clean_Name</t>
  </si>
  <si>
    <t>Clean City</t>
  </si>
  <si>
    <t xml:space="preserve">Department </t>
  </si>
  <si>
    <t>Clean</t>
  </si>
  <si>
    <t>Total Order</t>
  </si>
  <si>
    <t>Duplicate_Order</t>
  </si>
  <si>
    <t>Data Status</t>
  </si>
  <si>
    <t>There are some missing value, duplicares value,standerized,incapitalization value in sales sheet.</t>
  </si>
  <si>
    <t>In analysis, I have check the all issues whoe created the problem in analysis and cleaning, understanding the data</t>
  </si>
  <si>
    <t>What I did:</t>
  </si>
  <si>
    <t>1. Remove Uneccassory space.</t>
  </si>
  <si>
    <t>2. Standarized and captalized the value.</t>
  </si>
  <si>
    <t>3. Remove Duplicates value.</t>
  </si>
  <si>
    <t>4. Check the sales status highest and the lowest sales.</t>
  </si>
  <si>
    <t>5. Find the unique values in data set.</t>
  </si>
  <si>
    <t>6. Validate important fields.</t>
  </si>
  <si>
    <t>Why should data be cleaned before analysis?</t>
  </si>
  <si>
    <t>Inconsistant and unruler data can be affected in analysing and missleading in bussiness analysis.</t>
  </si>
  <si>
    <t>Data in Cleaned form is must before the analysis business analytics.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</si>
</sst>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workbookViewId="0">
      <selection activeCell="G1" sqref="G1:N14"/>
    </sheetView>
  </sheetViews>
  <sheetFormatPr defaultRowHeight="15"/>
  <cols>
    <col min="1" max="1" width="12.7109375" style="3" bestFit="1" customWidth="1"/>
    <col min="2" max="6" width="9.140625" style="3"/>
    <col min="7" max="7" width="12.28515625" style="3" bestFit="1" customWidth="1"/>
    <col min="8" max="8" width="9.85546875" style="3" bestFit="1" customWidth="1"/>
    <col min="9" max="9" width="12.140625" style="3" bestFit="1" customWidth="1"/>
    <col min="10" max="10" width="9.140625" style="3"/>
    <col min="11" max="11" width="11" style="3" bestFit="1" customWidth="1"/>
    <col min="12" max="12" width="15.7109375" style="3" bestFit="1" customWidth="1"/>
    <col min="13" max="13" width="13.42578125" style="3" bestFit="1" customWidth="1"/>
    <col min="14" max="16384" width="9.140625" style="3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4</v>
      </c>
    </row>
    <row r="2" spans="1:14">
      <c r="A2" s="4" t="s">
        <v>5</v>
      </c>
      <c r="B2" s="5" t="s">
        <v>6</v>
      </c>
      <c r="C2" s="4" t="s">
        <v>7</v>
      </c>
      <c r="D2" s="4" t="s">
        <v>8</v>
      </c>
      <c r="E2" s="6">
        <v>85000</v>
      </c>
      <c r="G2" s="7" t="str">
        <f>TRIM(PROPER(B2))</f>
        <v>Rahul</v>
      </c>
      <c r="H2" s="7" t="str">
        <f>PROPER(C2)</f>
        <v>Lucknow</v>
      </c>
      <c r="I2" s="7" t="str" cm="1">
        <f t="array" ref="I2:I15">UPPER(D2:D15)</f>
        <v>SALES</v>
      </c>
      <c r="J2" s="7" t="str">
        <f>CLEAN(TRIM(PROPER(B2)))</f>
        <v>Rahul</v>
      </c>
      <c r="K2" s="7">
        <f>COUNTA(A2:A15)</f>
        <v>13</v>
      </c>
      <c r="L2" s="7" t="str">
        <f>IF(COUNTIF(A2:A15,A2)&gt;1,"Duplicate Value","Unique")</f>
        <v>Unique</v>
      </c>
      <c r="M2" s="7" t="str">
        <f>IF(B2="","Missing Value","Okay")</f>
        <v>Okay</v>
      </c>
      <c r="N2" s="7" t="str">
        <f>IF(E2&gt;=50000,"High","Low")</f>
        <v>High</v>
      </c>
    </row>
    <row r="3" spans="1:14">
      <c r="A3" s="4" t="s">
        <v>9</v>
      </c>
      <c r="B3" s="5" t="s">
        <v>10</v>
      </c>
      <c r="C3" s="4" t="s">
        <v>11</v>
      </c>
      <c r="D3" s="4" t="s">
        <v>12</v>
      </c>
      <c r="E3" s="6">
        <v>42000</v>
      </c>
      <c r="G3" s="7" t="str">
        <f t="shared" ref="G3:G15" si="0">TRIM(PROPER(B3))</f>
        <v>Priya</v>
      </c>
      <c r="H3" s="7" t="str">
        <f t="shared" ref="H3:H15" si="1">PROPER(C3)</f>
        <v>Delhi</v>
      </c>
      <c r="I3" s="7" t="str">
        <v>SALES</v>
      </c>
      <c r="J3" s="7" t="str">
        <f t="shared" ref="J3:J15" si="2">CLEAN(TRIM(PROPER(B3)))</f>
        <v>Priya</v>
      </c>
      <c r="K3" s="7"/>
      <c r="L3" s="7" t="str">
        <f t="shared" ref="L3:L15" si="3">IF(COUNTIF(A3:A16,A3)&gt;1,"Duplicate Value","Unique")</f>
        <v>Unique</v>
      </c>
      <c r="M3" s="7" t="str">
        <f t="shared" ref="M3:M14" si="4">IF(B3="","Missing Value","Okay")</f>
        <v>Okay</v>
      </c>
      <c r="N3" s="7" t="str">
        <f t="shared" ref="N3:N14" si="5">IF(E3&gt;=50000,"High","Low")</f>
        <v>Low</v>
      </c>
    </row>
    <row r="4" spans="1:14">
      <c r="A4" s="4" t="s">
        <v>13</v>
      </c>
      <c r="B4" s="5" t="s">
        <v>14</v>
      </c>
      <c r="C4" s="4" t="s">
        <v>15</v>
      </c>
      <c r="D4" s="4" t="s">
        <v>8</v>
      </c>
      <c r="E4" s="6">
        <v>72000</v>
      </c>
      <c r="G4" s="7" t="str">
        <f t="shared" si="0"/>
        <v>Arman</v>
      </c>
      <c r="H4" s="7" t="str">
        <f t="shared" si="1"/>
        <v>Mumbai</v>
      </c>
      <c r="I4" s="7" t="str">
        <v>SALES</v>
      </c>
      <c r="J4" s="7" t="str">
        <f t="shared" si="2"/>
        <v>Arman</v>
      </c>
      <c r="K4" s="7"/>
      <c r="L4" s="7" t="str">
        <f t="shared" si="3"/>
        <v>Unique</v>
      </c>
      <c r="M4" s="7" t="str">
        <f t="shared" si="4"/>
        <v>Okay</v>
      </c>
      <c r="N4" s="7" t="str">
        <f t="shared" si="5"/>
        <v>High</v>
      </c>
    </row>
    <row r="5" spans="1:14">
      <c r="A5" s="4" t="s">
        <v>16</v>
      </c>
      <c r="B5" s="5" t="s">
        <v>17</v>
      </c>
      <c r="C5" s="4" t="s">
        <v>7</v>
      </c>
      <c r="D5" s="4" t="s">
        <v>18</v>
      </c>
      <c r="E5" s="6">
        <v>56000</v>
      </c>
      <c r="G5" s="7" t="str">
        <f t="shared" si="0"/>
        <v>Zoya</v>
      </c>
      <c r="H5" s="7" t="str">
        <f t="shared" si="1"/>
        <v>Lucknow</v>
      </c>
      <c r="I5" s="7" t="str">
        <v>IT</v>
      </c>
      <c r="J5" s="7" t="str">
        <f t="shared" si="2"/>
        <v>Zoya</v>
      </c>
      <c r="K5" s="7"/>
      <c r="L5" s="7" t="str">
        <f t="shared" si="3"/>
        <v>Unique</v>
      </c>
      <c r="M5" s="7" t="str">
        <f t="shared" si="4"/>
        <v>Okay</v>
      </c>
      <c r="N5" s="7" t="str">
        <f t="shared" si="5"/>
        <v>High</v>
      </c>
    </row>
    <row r="6" spans="1:14">
      <c r="A6" s="4" t="s">
        <v>19</v>
      </c>
      <c r="B6" s="5" t="s">
        <v>20</v>
      </c>
      <c r="C6" s="4" t="s">
        <v>21</v>
      </c>
      <c r="D6" s="4" t="s">
        <v>4</v>
      </c>
      <c r="E6" s="6">
        <v>38000</v>
      </c>
      <c r="G6" s="7" t="str">
        <f t="shared" si="0"/>
        <v>Hamza</v>
      </c>
      <c r="H6" s="7" t="str">
        <f t="shared" si="1"/>
        <v>Delhi</v>
      </c>
      <c r="I6" s="7" t="str">
        <v>SALES</v>
      </c>
      <c r="J6" s="7" t="str">
        <f t="shared" si="2"/>
        <v>Hamza</v>
      </c>
      <c r="K6" s="7"/>
      <c r="L6" s="7" t="str">
        <f t="shared" si="3"/>
        <v>Unique</v>
      </c>
      <c r="M6" s="7" t="str">
        <f t="shared" si="4"/>
        <v>Okay</v>
      </c>
      <c r="N6" s="7" t="str">
        <f t="shared" si="5"/>
        <v>Low</v>
      </c>
    </row>
    <row r="7" spans="1:14">
      <c r="A7" s="4" t="s">
        <v>22</v>
      </c>
      <c r="B7" s="5" t="s">
        <v>23</v>
      </c>
      <c r="C7" s="4" t="s">
        <v>24</v>
      </c>
      <c r="D7" s="4" t="s">
        <v>25</v>
      </c>
      <c r="E7" s="6">
        <v>65000</v>
      </c>
      <c r="G7" s="7" t="str">
        <f t="shared" si="0"/>
        <v>Sara</v>
      </c>
      <c r="H7" s="7" t="str">
        <f t="shared" si="1"/>
        <v>Mumbai</v>
      </c>
      <c r="I7" s="7" t="str">
        <v>HR</v>
      </c>
      <c r="J7" s="7" t="str">
        <f t="shared" si="2"/>
        <v>Sara</v>
      </c>
      <c r="K7" s="7"/>
      <c r="L7" s="7" t="str">
        <f t="shared" si="3"/>
        <v>Unique</v>
      </c>
      <c r="M7" s="7" t="str">
        <f t="shared" si="4"/>
        <v>Okay</v>
      </c>
      <c r="N7" s="7" t="str">
        <f t="shared" si="5"/>
        <v>High</v>
      </c>
    </row>
    <row r="8" spans="1:14">
      <c r="A8" s="4" t="s">
        <v>26</v>
      </c>
      <c r="B8" s="5" t="s">
        <v>27</v>
      </c>
      <c r="C8" s="4" t="s">
        <v>28</v>
      </c>
      <c r="D8" s="4" t="s">
        <v>29</v>
      </c>
      <c r="E8" s="6">
        <v>29000</v>
      </c>
      <c r="G8" s="7" t="str">
        <f t="shared" si="0"/>
        <v>Ali</v>
      </c>
      <c r="H8" s="7" t="str">
        <f t="shared" si="1"/>
        <v>Delhi</v>
      </c>
      <c r="I8" s="7" t="str">
        <v>IT</v>
      </c>
      <c r="J8" s="7" t="str">
        <f t="shared" si="2"/>
        <v>Ali</v>
      </c>
      <c r="K8" s="7"/>
      <c r="L8" s="7" t="str">
        <f t="shared" si="3"/>
        <v>Unique</v>
      </c>
      <c r="M8" s="7" t="str">
        <f t="shared" si="4"/>
        <v>Okay</v>
      </c>
      <c r="N8" s="7" t="str">
        <f t="shared" si="5"/>
        <v>Low</v>
      </c>
    </row>
    <row r="9" spans="1:14">
      <c r="A9" s="4" t="s">
        <v>30</v>
      </c>
      <c r="B9" s="5" t="s">
        <v>31</v>
      </c>
      <c r="C9" s="4" t="s">
        <v>32</v>
      </c>
      <c r="D9" s="4" t="s">
        <v>12</v>
      </c>
      <c r="E9" s="6">
        <v>91000</v>
      </c>
      <c r="G9" s="7" t="str">
        <f t="shared" si="0"/>
        <v>Fatima</v>
      </c>
      <c r="H9" s="7" t="str">
        <f t="shared" si="1"/>
        <v>Mumbai</v>
      </c>
      <c r="I9" s="7" t="str">
        <v>SALES</v>
      </c>
      <c r="J9" s="7" t="str">
        <f t="shared" si="2"/>
        <v>Fatima</v>
      </c>
      <c r="K9" s="7"/>
      <c r="L9" s="7" t="str">
        <f t="shared" si="3"/>
        <v>Unique</v>
      </c>
      <c r="M9" s="7" t="str">
        <f t="shared" si="4"/>
        <v>Okay</v>
      </c>
      <c r="N9" s="7" t="str">
        <f t="shared" si="5"/>
        <v>High</v>
      </c>
    </row>
    <row r="10" spans="1:14">
      <c r="A10" s="4" t="s">
        <v>33</v>
      </c>
      <c r="B10" s="5" t="s">
        <v>34</v>
      </c>
      <c r="C10" s="4" t="s">
        <v>35</v>
      </c>
      <c r="D10" s="4" t="s">
        <v>4</v>
      </c>
      <c r="E10" s="6">
        <v>47000</v>
      </c>
      <c r="G10" s="7" t="str">
        <f t="shared" si="0"/>
        <v>Sameer</v>
      </c>
      <c r="H10" s="7" t="str">
        <f t="shared" si="1"/>
        <v>Lucknow</v>
      </c>
      <c r="I10" s="7" t="str">
        <v>SALES</v>
      </c>
      <c r="J10" s="7" t="str">
        <f t="shared" si="2"/>
        <v>Sameer</v>
      </c>
      <c r="K10" s="7"/>
      <c r="L10" s="7" t="str">
        <f t="shared" si="3"/>
        <v>Unique</v>
      </c>
      <c r="M10" s="7" t="str">
        <f t="shared" si="4"/>
        <v>Okay</v>
      </c>
      <c r="N10" s="7" t="str">
        <f t="shared" si="5"/>
        <v>Low</v>
      </c>
    </row>
    <row r="11" spans="1:14">
      <c r="A11" s="4" t="s">
        <v>36</v>
      </c>
      <c r="B11" s="5" t="s">
        <v>37</v>
      </c>
      <c r="C11" s="4" t="s">
        <v>28</v>
      </c>
      <c r="D11" s="4" t="s">
        <v>18</v>
      </c>
      <c r="E11" s="6">
        <v>68000</v>
      </c>
      <c r="G11" s="7" t="str">
        <f t="shared" si="0"/>
        <v>Ayesha</v>
      </c>
      <c r="H11" s="7" t="str">
        <f t="shared" si="1"/>
        <v>Delhi</v>
      </c>
      <c r="I11" s="7" t="str">
        <v>IT</v>
      </c>
      <c r="J11" s="7" t="str">
        <f t="shared" si="2"/>
        <v>Ayesha</v>
      </c>
      <c r="K11" s="7"/>
      <c r="L11" s="7" t="str">
        <f t="shared" si="3"/>
        <v>Unique</v>
      </c>
      <c r="M11" s="7" t="str">
        <f t="shared" si="4"/>
        <v>Okay</v>
      </c>
      <c r="N11" s="7" t="str">
        <f t="shared" si="5"/>
        <v>High</v>
      </c>
    </row>
    <row r="12" spans="1:14">
      <c r="A12" s="4" t="s">
        <v>38</v>
      </c>
      <c r="B12" s="5" t="s">
        <v>39</v>
      </c>
      <c r="C12" s="4" t="s">
        <v>35</v>
      </c>
      <c r="D12" s="4" t="s">
        <v>25</v>
      </c>
      <c r="E12" s="6">
        <v>35000</v>
      </c>
      <c r="G12" s="7" t="str">
        <f t="shared" si="0"/>
        <v>Kabir</v>
      </c>
      <c r="H12" s="7" t="str">
        <f t="shared" si="1"/>
        <v>Lucknow</v>
      </c>
      <c r="I12" s="7" t="str">
        <v>HR</v>
      </c>
      <c r="J12" s="7" t="str">
        <f t="shared" si="2"/>
        <v>Kabir</v>
      </c>
      <c r="K12" s="7"/>
      <c r="L12" s="7" t="str">
        <f t="shared" si="3"/>
        <v>Unique</v>
      </c>
      <c r="M12" s="7" t="str">
        <f t="shared" si="4"/>
        <v>Okay</v>
      </c>
      <c r="N12" s="7" t="str">
        <f t="shared" si="5"/>
        <v>Low</v>
      </c>
    </row>
    <row r="13" spans="1:14">
      <c r="A13" s="4" t="s">
        <v>40</v>
      </c>
      <c r="B13" s="5" t="s">
        <v>41</v>
      </c>
      <c r="C13" s="4" t="s">
        <v>11</v>
      </c>
      <c r="D13" s="4" t="s">
        <v>8</v>
      </c>
      <c r="E13" s="6">
        <v>78000</v>
      </c>
      <c r="G13" s="7" t="str">
        <f t="shared" si="0"/>
        <v>Sana</v>
      </c>
      <c r="H13" s="7" t="str">
        <f t="shared" si="1"/>
        <v>Delhi</v>
      </c>
      <c r="I13" s="7" t="str">
        <v>SALES</v>
      </c>
      <c r="J13" s="7" t="str">
        <f t="shared" si="2"/>
        <v>Sana</v>
      </c>
      <c r="K13" s="7"/>
      <c r="L13" s="7" t="str">
        <f t="shared" si="3"/>
        <v>Unique</v>
      </c>
      <c r="M13" s="7" t="str">
        <f t="shared" si="4"/>
        <v>Okay</v>
      </c>
      <c r="N13" s="7" t="str">
        <f t="shared" si="5"/>
        <v>High</v>
      </c>
    </row>
    <row r="14" spans="1:14">
      <c r="A14" s="4" t="s">
        <v>42</v>
      </c>
      <c r="B14" s="4"/>
      <c r="C14" s="4" t="s">
        <v>24</v>
      </c>
      <c r="D14" s="4" t="s">
        <v>25</v>
      </c>
      <c r="E14" s="6">
        <v>44000</v>
      </c>
      <c r="G14" s="7" t="str">
        <f t="shared" si="0"/>
        <v/>
      </c>
      <c r="H14" s="7" t="str">
        <f t="shared" si="1"/>
        <v>Mumbai</v>
      </c>
      <c r="I14" s="7" t="str">
        <v>HR</v>
      </c>
      <c r="J14" s="7" t="str">
        <f t="shared" si="2"/>
        <v/>
      </c>
      <c r="K14" s="7"/>
      <c r="L14" s="7" t="str">
        <f t="shared" si="3"/>
        <v>Unique</v>
      </c>
      <c r="M14" s="7" t="str">
        <f t="shared" si="4"/>
        <v>Missing Value</v>
      </c>
      <c r="N14" s="7" t="str">
        <f t="shared" si="5"/>
        <v>Low</v>
      </c>
    </row>
    <row r="15" spans="1:14">
      <c r="A15"/>
      <c r="B15"/>
      <c r="C15"/>
      <c r="D15"/>
      <c r="E15"/>
      <c r="G15" s="3" t="str">
        <f t="shared" si="0"/>
        <v/>
      </c>
      <c r="H15" s="3" t="str">
        <f t="shared" si="1"/>
        <v/>
      </c>
      <c r="I15" s="3" t="str">
        <v/>
      </c>
      <c r="J15" s="3" t="str">
        <f t="shared" si="2"/>
        <v/>
      </c>
    </row>
  </sheetData>
  <conditionalFormatting sqref="A2:A14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76E2-2E57-4AB4-891F-DCDFB908C9B9}">
  <dimension ref="A1:J13"/>
  <sheetViews>
    <sheetView tabSelected="1" workbookViewId="0">
      <selection activeCell="M15" sqref="M15"/>
    </sheetView>
  </sheetViews>
  <sheetFormatPr defaultRowHeight="15"/>
  <sheetData>
    <row r="1" spans="1:10">
      <c r="A1" s="9" t="s">
        <v>50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51</v>
      </c>
    </row>
    <row r="3" spans="1:10">
      <c r="A3" t="s">
        <v>52</v>
      </c>
    </row>
    <row r="4" spans="1:10">
      <c r="A4" t="s">
        <v>53</v>
      </c>
    </row>
    <row r="5" spans="1:10">
      <c r="A5" t="s">
        <v>54</v>
      </c>
    </row>
    <row r="6" spans="1:10">
      <c r="A6" t="s">
        <v>55</v>
      </c>
    </row>
    <row r="7" spans="1:10">
      <c r="A7" t="s">
        <v>56</v>
      </c>
    </row>
    <row r="8" spans="1:10">
      <c r="A8" t="s">
        <v>57</v>
      </c>
    </row>
    <row r="9" spans="1:10">
      <c r="A9" t="s">
        <v>58</v>
      </c>
    </row>
    <row r="11" spans="1:10">
      <c r="A11" s="9" t="s">
        <v>59</v>
      </c>
      <c r="B11" s="9"/>
      <c r="C11" s="9"/>
      <c r="D11" s="9"/>
      <c r="E11" s="9"/>
    </row>
    <row r="12" spans="1:10">
      <c r="A12" t="s">
        <v>60</v>
      </c>
    </row>
    <row r="13" spans="1:10">
      <c r="A1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2026-09-22T16:27:59Z</dcterms:modified>
</cp:coreProperties>
</file>