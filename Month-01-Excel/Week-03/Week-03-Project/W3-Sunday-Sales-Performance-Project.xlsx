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4_MONTH\4-Month-Data-Analyst-Journey\Month-01-Excel\Week-03\Week-03-Project\"/>
    </mc:Choice>
  </mc:AlternateContent>
  <xr:revisionPtr revIDLastSave="0" documentId="13_ncr:1_{40254215-EF31-4BBD-A67A-1713B64C023F}" xr6:coauthVersionLast="47" xr6:coauthVersionMax="47" xr10:uidLastSave="{00000000-0000-0000-0000-000000000000}"/>
  <bookViews>
    <workbookView xWindow="-120" yWindow="-120" windowWidth="20730" windowHeight="11040" firstSheet="2" activeTab="3" xr2:uid="{00000000-000D-0000-FFFF-FFFF00000000}"/>
  </bookViews>
  <sheets>
    <sheet name="01_Raw_Data" sheetId="1" r:id="rId1"/>
    <sheet name="02_Calculations" sheetId="2" r:id="rId2"/>
    <sheet name="03_Pivot_Analysis" sheetId="3" r:id="rId3"/>
    <sheet name="04_Dashboard" sheetId="4" r:id="rId4"/>
    <sheet name="05_Insights" sheetId="5" r:id="rId5"/>
  </sheets>
  <definedNames>
    <definedName name="_xlnm._FilterDatabase" localSheetId="1" hidden="1">'02_Calculations'!$A$2:$L$2</definedName>
    <definedName name="Slicer_Category">#N/A</definedName>
    <definedName name="Slicer_City">#N/A</definedName>
  </definedNames>
  <calcPr calcId="191029"/>
  <pivotCaches>
    <pivotCache cacheId="2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6" i="2" l="1"/>
  <c r="O5" i="2"/>
  <c r="O4" i="2"/>
  <c r="O3" i="2"/>
  <c r="O2"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 i="2"/>
  <c r="K3" i="2"/>
  <c r="J3" i="2"/>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2" i="1"/>
  <c r="K2" i="1" a="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<sst xmlns="http://schemas.openxmlformats.org/spreadsheetml/2006/main" count="429" uniqueCount="87">
  <si>
    <t>Order_ID</t>
  </si>
  <si>
    <t>Date</t>
  </si>
  <si>
    <t>Salesperson</t>
  </si>
  <si>
    <t>City</t>
  </si>
  <si>
    <t>Category</t>
  </si>
  <si>
    <t>Product</t>
  </si>
  <si>
    <t>Quantity</t>
  </si>
  <si>
    <t>Sales</t>
  </si>
  <si>
    <t>Errors</t>
  </si>
  <si>
    <t>O001</t>
  </si>
  <si>
    <t>Rahul</t>
  </si>
  <si>
    <t>Lucknow</t>
  </si>
  <si>
    <t>Electronics</t>
  </si>
  <si>
    <t>Laptop</t>
  </si>
  <si>
    <t>O002</t>
  </si>
  <si>
    <t>Priya</t>
  </si>
  <si>
    <t>Delhi</t>
  </si>
  <si>
    <t>Clothing</t>
  </si>
  <si>
    <t>Shirt</t>
  </si>
  <si>
    <t>O003</t>
  </si>
  <si>
    <t>Arman</t>
  </si>
  <si>
    <t>Mumbai</t>
  </si>
  <si>
    <t>Furniture</t>
  </si>
  <si>
    <t>Chair</t>
  </si>
  <si>
    <t>O004</t>
  </si>
  <si>
    <t>Monitor</t>
  </si>
  <si>
    <t>O005</t>
  </si>
  <si>
    <t>Hamza</t>
  </si>
  <si>
    <t>O006</t>
  </si>
  <si>
    <t>Sara</t>
  </si>
  <si>
    <t>O007</t>
  </si>
  <si>
    <t>O008</t>
  </si>
  <si>
    <t>O009</t>
  </si>
  <si>
    <t>O010</t>
  </si>
  <si>
    <t>O011</t>
  </si>
  <si>
    <t>O012</t>
  </si>
  <si>
    <t>O013</t>
  </si>
  <si>
    <t>13/09/2026</t>
  </si>
  <si>
    <t>O014</t>
  </si>
  <si>
    <t>14/09/2026</t>
  </si>
  <si>
    <t>O015</t>
  </si>
  <si>
    <t>15/09/2026</t>
  </si>
  <si>
    <t>O016</t>
  </si>
  <si>
    <t>16/09/2026</t>
  </si>
  <si>
    <t>O017</t>
  </si>
  <si>
    <t>17/09/2026</t>
  </si>
  <si>
    <t>O018</t>
  </si>
  <si>
    <t>18/09/2026</t>
  </si>
  <si>
    <t>O019</t>
  </si>
  <si>
    <t>19/09/2026</t>
  </si>
  <si>
    <t>O020</t>
  </si>
  <si>
    <t>20/09/2026</t>
  </si>
  <si>
    <t>O021</t>
  </si>
  <si>
    <t>O022</t>
  </si>
  <si>
    <t>O023</t>
  </si>
  <si>
    <t>O024</t>
  </si>
  <si>
    <t>O025</t>
  </si>
  <si>
    <t>O026</t>
  </si>
  <si>
    <t>O027</t>
  </si>
  <si>
    <t>O028</t>
  </si>
  <si>
    <t>O029</t>
  </si>
  <si>
    <t>O030</t>
  </si>
  <si>
    <t>Unique</t>
  </si>
  <si>
    <t>Duplicate</t>
  </si>
  <si>
    <t>Month</t>
  </si>
  <si>
    <t>Error Status</t>
  </si>
  <si>
    <t>Sales Level</t>
  </si>
  <si>
    <t>Sales Performance &amp; Interactive Analysis</t>
  </si>
  <si>
    <t>Total Sales</t>
  </si>
  <si>
    <t>Total Orders</t>
  </si>
  <si>
    <t>Total Quantity</t>
  </si>
  <si>
    <t>Average Sale</t>
  </si>
  <si>
    <t>Total Error</t>
  </si>
  <si>
    <t>Row Labels</t>
  </si>
  <si>
    <t>Grand Total</t>
  </si>
  <si>
    <t>Sum of Sales</t>
  </si>
  <si>
    <t>Sum of Quantity</t>
  </si>
  <si>
    <t>Count of Order_ID</t>
  </si>
  <si>
    <t>Column Labels</t>
  </si>
  <si>
    <t>City Performance</t>
  </si>
  <si>
    <t>Category Performance</t>
  </si>
  <si>
    <t>Salesperson Performance</t>
  </si>
  <si>
    <t>City*Category Performance</t>
  </si>
  <si>
    <t>Sales Performance Dashboard</t>
  </si>
  <si>
    <t>Insight 1: Electronics generate the highest sale in lucknow is 311000</t>
  </si>
  <si>
    <t xml:space="preserve">insight 2: Lucknow generate the highest sale in all city is 424000 </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</si>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</sst>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b/>
      <sz val="18"/>
      <color theme="1"/>
      <name val="Calibri"/>
      <family val="2"/>
      <scheme val="minor"/>
    </font>
  </fonts>
  <fills count="4">
    <fill>
      <patternFill patternType="none"/>
    </fill>
    <fill>
      <patternFill patternType="gray125"/>
    </fill>
    <fill>
      <patternFill patternType="solid">
        <fgColor theme="9" tint="0.39997558519241921"/>
        <bgColor indexed="64"/>
      </patternFill>
    </fill>
    <fill>
      <patternFill patternType="solid">
        <fgColor theme="9"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36">
    <xf numFmtId="0" fontId="0" fillId="0" borderId="0" xfId="0"/>
    <xf numFmtId="0" fontId="1" fillId="0" borderId="0" xfId="0" applyFont="1" applyAlignment="1">
      <alignment horizontal="center" vertical="center"/>
    </xf>
    <xf numFmtId="0" fontId="1" fillId="0" borderId="0" xfId="0" applyFont="1" applyAlignment="1">
      <alignment horizontal="right" vertical="center"/>
    </xf>
    <xf numFmtId="0" fontId="0" fillId="0" borderId="0" xfId="0" applyAlignment="1">
      <alignment vertical="center"/>
    </xf>
    <xf numFmtId="2" fontId="0" fillId="0" borderId="0" xfId="0" applyNumberFormat="1" applyAlignment="1">
      <alignment horizontal="right" vertical="center"/>
    </xf>
    <xf numFmtId="1" fontId="0" fillId="0" borderId="0" xfId="0" applyNumberFormat="1" applyAlignment="1">
      <alignment horizontal="right" vertical="center"/>
    </xf>
    <xf numFmtId="14" fontId="0" fillId="0" borderId="0" xfId="0" applyNumberFormat="1" applyAlignment="1" applyProtection="1">
      <alignment vertical="center"/>
    </xf>
    <xf numFmtId="0" fontId="0" fillId="0" borderId="1" xfId="0" applyBorder="1" applyAlignment="1">
      <alignment vertical="center"/>
    </xf>
    <xf numFmtId="14" fontId="0" fillId="0" borderId="1" xfId="0" applyNumberFormat="1" applyBorder="1" applyAlignment="1" applyProtection="1">
      <alignment vertical="center"/>
    </xf>
    <xf numFmtId="1" fontId="0" fillId="0" borderId="1" xfId="0" applyNumberFormat="1" applyBorder="1" applyAlignment="1">
      <alignment horizontal="right" vertical="center"/>
    </xf>
    <xf numFmtId="0" fontId="0" fillId="0" borderId="1" xfId="0" applyBorder="1"/>
    <xf numFmtId="0" fontId="2" fillId="2" borderId="1" xfId="0" applyFont="1" applyFill="1" applyBorder="1" applyAlignment="1">
      <alignment horizontal="center"/>
    </xf>
    <xf numFmtId="0" fontId="1" fillId="3" borderId="1" xfId="0" applyFont="1" applyFill="1" applyBorder="1" applyAlignment="1">
      <alignment horizontal="center" vertical="center"/>
    </xf>
    <xf numFmtId="0" fontId="1" fillId="3" borderId="1" xfId="0" applyFont="1" applyFill="1" applyBorder="1" applyAlignment="1">
      <alignment horizontal="right" vertical="center"/>
    </xf>
    <xf numFmtId="0" fontId="1" fillId="3" borderId="1" xfId="0" applyFont="1" applyFill="1" applyBorder="1"/>
    <xf numFmtId="1" fontId="0" fillId="0" borderId="1" xfId="0" applyNumberFormat="1" applyBorder="1"/>
    <xf numFmtId="0" fontId="3" fillId="2" borderId="1" xfId="0" applyFont="1" applyFill="1" applyBorder="1" applyAlignment="1">
      <alignment horizontal="center"/>
    </xf>
    <xf numFmtId="0" fontId="0" fillId="0" borderId="1" xfId="0" pivotButton="1" applyBorder="1"/>
    <xf numFmtId="0" fontId="0" fillId="0" borderId="1" xfId="0" applyBorder="1" applyAlignment="1">
      <alignment horizontal="right"/>
    </xf>
    <xf numFmtId="0" fontId="0" fillId="0" borderId="1" xfId="0" applyBorder="1" applyAlignment="1">
      <alignment horizontal="left"/>
    </xf>
    <xf numFmtId="0" fontId="0" fillId="0" borderId="1" xfId="0" applyNumberFormat="1" applyBorder="1"/>
    <xf numFmtId="1" fontId="0" fillId="0" borderId="4" xfId="0" applyNumberFormat="1" applyBorder="1"/>
    <xf numFmtId="1" fontId="0" fillId="0" borderId="6" xfId="0" applyNumberFormat="1" applyBorder="1"/>
    <xf numFmtId="1" fontId="0" fillId="0" borderId="2" xfId="0" applyNumberFormat="1" applyBorder="1"/>
    <xf numFmtId="1" fontId="0" fillId="0" borderId="5" xfId="0" applyNumberFormat="1" applyBorder="1"/>
    <xf numFmtId="0" fontId="0" fillId="0" borderId="3" xfId="0" pivotButton="1" applyBorder="1"/>
    <xf numFmtId="0" fontId="0" fillId="0" borderId="7" xfId="0" applyBorder="1" applyAlignment="1">
      <alignment horizontal="left"/>
    </xf>
    <xf numFmtId="0" fontId="0" fillId="0" borderId="3" xfId="0" applyBorder="1" applyAlignment="1">
      <alignment horizontal="left"/>
    </xf>
    <xf numFmtId="0" fontId="0" fillId="0" borderId="5" xfId="0" applyBorder="1" applyAlignment="1">
      <alignment horizontal="right"/>
    </xf>
    <xf numFmtId="0" fontId="0" fillId="0" borderId="6" xfId="0" applyBorder="1" applyAlignment="1">
      <alignment horizontal="right"/>
    </xf>
    <xf numFmtId="0" fontId="0" fillId="0" borderId="1" xfId="0" pivotButton="1" applyBorder="1" applyAlignment="1">
      <alignment horizontal="right"/>
    </xf>
    <xf numFmtId="0" fontId="4" fillId="2" borderId="0" xfId="0" applyFont="1" applyFill="1" applyAlignment="1">
      <alignment horizontal="center"/>
    </xf>
    <xf numFmtId="0" fontId="1" fillId="0" borderId="0" xfId="0" applyFont="1" applyFill="1" applyBorder="1"/>
    <xf numFmtId="0" fontId="3" fillId="2" borderId="9" xfId="0" applyFont="1" applyFill="1" applyBorder="1" applyAlignment="1">
      <alignment horizontal="center"/>
    </xf>
    <xf numFmtId="0" fontId="3" fillId="2" borderId="10" xfId="0" applyFont="1" applyFill="1" applyBorder="1" applyAlignment="1">
      <alignment horizontal="center"/>
    </xf>
    <xf numFmtId="0" fontId="3" fillId="2" borderId="8" xfId="0" applyFont="1" applyFill="1" applyBorder="1" applyAlignment="1">
      <alignment horizontal="center"/>
    </xf>
  </cellXfs>
  <cellStyles count="1">
    <cellStyle name="Normal" xfId="0" builtinId="0"/>
  </cellStyles>
  <dxfs count="168">
    <dxf>
      <fill>
        <patternFill>
          <bgColor theme="9" tint="0.39994506668294322"/>
        </patternFill>
      </fill>
    </dxf>
    <dxf>
      <fill>
        <patternFill>
          <bgColor theme="9" tint="0.39994506668294322"/>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dxf>
    <dxf>
      <alignment horizontal="righ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iagrams/colors1.xml><?xml version="1.0" encoding="utf-8"?>
<dgm:colorsDef xmlns:dgm="http://schemas.openxmlformats.org/drawingml/2006/diagram" xmlns:a="http://schemas.openxmlformats.org/drawingml/2006/main" uniqueId="urn:microsoft.com/office/officeart/2005/8/colors/accent6_3">
  <dgm:title val=""/>
  <dgm:desc val=""/>
  <dgm:catLst>
    <dgm:cat type="accent6" pri="11300"/>
  </dgm:catLst>
  <dgm:styleLbl name="node0">
    <dgm:fillClrLst meth="repeat">
      <a:schemeClr val="accent6">
        <a:shade val="80000"/>
      </a:schemeClr>
    </dgm:fillClrLst>
    <dgm:linClrLst meth="repeat">
      <a:schemeClr val="lt1"/>
    </dgm:linClrLst>
    <dgm:effectClrLst/>
    <dgm:txLinClrLst/>
    <dgm:txFillClrLst/>
    <dgm:txEffectClrLst/>
  </dgm:styleLbl>
  <dgm:styleLbl name="node0NoLn">
    <dgm:fillClrLst meth="repeat">
      <a:schemeClr val="accent6">
        <a:shade val="80000"/>
      </a:schemeClr>
    </dgm:fillClrLst>
    <dgm:linClrLst meth="repeat">
      <a:schemeClr val="lt1">
        <a:alpha val="0"/>
      </a:schemeClr>
    </dgm:linClrLst>
    <dgm:effectClrLst/>
    <dgm:txLinClrLst/>
    <dgm:txFillClrLst/>
    <dgm:txEffectClrLst/>
  </dgm:styleLbl>
  <dgm:styleLbl name="node1">
    <dgm:fillClrLst>
      <a:schemeClr val="accent6">
        <a:shade val="80000"/>
      </a:schemeClr>
      <a:schemeClr val="accent6">
        <a:tint val="70000"/>
      </a:schemeClr>
    </dgm:fillClrLst>
    <dgm:linClrLst meth="repeat">
      <a:schemeClr val="lt1"/>
    </dgm:linClrLst>
    <dgm:effectClrLst/>
    <dgm:txLinClrLst/>
    <dgm:txFillClrLst/>
    <dgm:txEffectClrLst/>
  </dgm:styleLbl>
  <dgm:styleLbl name="node1NoLn">
    <dgm:fillClrLst>
      <a:schemeClr val="accent6">
        <a:shade val="80000"/>
      </a:schemeClr>
      <a:schemeClr val="accent6">
        <a:tint val="70000"/>
      </a:schemeClr>
    </dgm:fillClrLst>
    <dgm:linClrLst meth="repeat">
      <a:schemeClr val="lt1">
        <a:alpha val="0"/>
      </a:schemeClr>
    </dgm:linClrLst>
    <dgm:effectClrLst/>
    <dgm:txLinClrLst/>
    <dgm:txFillClrLst/>
    <dgm:txEffectClrLst/>
  </dgm:styleLbl>
  <dgm:styleLbl name="ltNode1NoLn">
    <dgm:fillClrLst>
      <a:schemeClr val="accent6">
        <a:tint val="75000"/>
      </a:schemeClr>
      <a:schemeClr val="accent6">
        <a:tint val="75000"/>
      </a:schemeClr>
    </dgm:fillClrLst>
    <dgm:linClrLst meth="repeat">
      <a:schemeClr val="lt1">
        <a:alpha val="0"/>
      </a:schemeClr>
    </dgm:linClrLst>
    <dgm:effectClrLst/>
    <dgm:txLinClrLst/>
    <dgm:txFillClrLst meth="repeat">
      <a:schemeClr val="dk1"/>
    </dgm:txFillClrLst>
    <dgm:txEffectClrLst/>
  </dgm:styleLbl>
  <dgm:styleLbl name="alignNode1">
    <dgm:fillClrLst>
      <a:schemeClr val="accent6">
        <a:shade val="80000"/>
      </a:schemeClr>
      <a:schemeClr val="accent6">
        <a:tint val="70000"/>
      </a:schemeClr>
    </dgm:fillClrLst>
    <dgm:linClrLst>
      <a:schemeClr val="accent6">
        <a:shade val="80000"/>
      </a:schemeClr>
      <a:schemeClr val="accent6">
        <a:tint val="70000"/>
      </a:schemeClr>
    </dgm:linClrLst>
    <dgm:effectClrLst/>
    <dgm:txLinClrLst/>
    <dgm:txFillClrLst/>
    <dgm:txEffectClrLst/>
  </dgm:styleLbl>
  <dgm:styleLbl name="lnNode1">
    <dgm:fillClrLst>
      <a:schemeClr val="accent6">
        <a:shade val="80000"/>
      </a:schemeClr>
      <a:schemeClr val="accent6">
        <a:tint val="70000"/>
      </a:schemeClr>
    </dgm:fillClrLst>
    <dgm:linClrLst meth="repeat">
      <a:schemeClr val="lt1"/>
    </dgm:linClrLst>
    <dgm:effectClrLst/>
    <dgm:txLinClrLst/>
    <dgm:txFillClrLst/>
    <dgm:txEffectClrLst/>
  </dgm:styleLbl>
  <dgm:styleLbl name="vennNode1">
    <dgm:fillClrLst>
      <a:schemeClr val="accent6">
        <a:shade val="80000"/>
        <a:alpha val="50000"/>
      </a:schemeClr>
      <a:schemeClr val="accent6">
        <a:tint val="70000"/>
        <a:alpha val="50000"/>
      </a:schemeClr>
    </dgm:fillClrLst>
    <dgm:linClrLst meth="repeat">
      <a:schemeClr val="lt1"/>
    </dgm:linClrLst>
    <dgm:effectClrLst/>
    <dgm:txLinClrLst/>
    <dgm:txFillClrLst/>
    <dgm:txEffectClrLst/>
  </dgm:styleLbl>
  <dgm:styleLbl name="node2">
    <dgm:fillClrLst>
      <a:schemeClr val="accent6">
        <a:tint val="99000"/>
      </a:schemeClr>
    </dgm:fillClrLst>
    <dgm:linClrLst meth="repeat">
      <a:schemeClr val="lt1"/>
    </dgm:linClrLst>
    <dgm:effectClrLst/>
    <dgm:txLinClrLst/>
    <dgm:txFillClrLst/>
    <dgm:txEffectClrLst/>
  </dgm:styleLbl>
  <dgm:styleLbl name="node2NoLn">
    <dgm:fillClrLst>
      <a:schemeClr val="accent6">
        <a:tint val="99000"/>
      </a:schemeClr>
    </dgm:fillClrLst>
    <dgm:linClrLst meth="repeat">
      <a:schemeClr val="lt1">
        <a:alpha val="0"/>
      </a:schemeClr>
    </dgm:linClrLst>
    <dgm:effectClrLst/>
    <dgm:txLinClrLst/>
    <dgm:txFillClrLst/>
    <dgm:txEffectClrLst/>
  </dgm:styleLbl>
  <dgm:styleLbl name="node3">
    <dgm:fillClrLst>
      <a:schemeClr val="accent6">
        <a:tint val="80000"/>
      </a:schemeClr>
    </dgm:fillClrLst>
    <dgm:linClrLst meth="repeat">
      <a:schemeClr val="lt1"/>
    </dgm:linClrLst>
    <dgm:effectClrLst/>
    <dgm:txLinClrLst/>
    <dgm:txFillClrLst/>
    <dgm:txEffectClrLst/>
  </dgm:styleLbl>
  <dgm:styleLbl name="node3NoLn">
    <dgm:fillClrLst>
      <a:schemeClr val="accent6">
        <a:tint val="80000"/>
      </a:schemeClr>
    </dgm:fillClrLst>
    <dgm:linClrLst meth="repeat">
      <a:schemeClr val="lt1">
        <a:alpha val="0"/>
      </a:schemeClr>
    </dgm:linClrLst>
    <dgm:effectClrLst/>
    <dgm:txLinClrLst/>
    <dgm:txFillClrLst/>
    <dgm:txEffectClrLst/>
  </dgm:styleLbl>
  <dgm:styleLbl name="node4">
    <dgm:fillClrLst>
      <a:schemeClr val="accent6">
        <a:tint val="70000"/>
      </a:schemeClr>
    </dgm:fillClrLst>
    <dgm:linClrLst meth="repeat">
      <a:schemeClr val="lt1"/>
    </dgm:linClrLst>
    <dgm:effectClrLst/>
    <dgm:txLinClrLst/>
    <dgm:txFillClrLst/>
    <dgm:txEffectClrLst/>
  </dgm:styleLbl>
  <dgm:styleLbl name="node4NoLn">
    <dgm:fillClrLst>
      <a:schemeClr val="accent6">
        <a:tint val="70000"/>
      </a:schemeClr>
    </dgm:fillClrLst>
    <dgm:linClrLst meth="repeat">
      <a:schemeClr val="lt1">
        <a:alpha val="0"/>
      </a:schemeClr>
    </dgm:linClrLst>
    <dgm:effectClrLst/>
    <dgm:txLinClrLst/>
    <dgm:txFillClrLst/>
    <dgm:txEffectClrLst/>
  </dgm:styleLbl>
  <dgm:styleLbl name="fgImgPlace1">
    <dgm:fillClrLst>
      <a:schemeClr val="accent6">
        <a:tint val="50000"/>
      </a:schemeClr>
      <a:schemeClr val="accent6">
        <a:tint val="20000"/>
      </a:schemeClr>
    </dgm:fillClrLst>
    <dgm:linClrLst meth="repeat">
      <a:schemeClr val="lt1"/>
    </dgm:linClrLst>
    <dgm:effectClrLst/>
    <dgm:txLinClrLst/>
    <dgm:txFillClrLst meth="repeat">
      <a:schemeClr val="lt1"/>
    </dgm:txFillClrLst>
    <dgm:txEffectClrLst/>
  </dgm:styleLbl>
  <dgm:styleLbl name="alignImgPlace1">
    <dgm:fillClrLst>
      <a:schemeClr val="accent6">
        <a:tint val="50000"/>
      </a:schemeClr>
      <a:schemeClr val="accent6">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6">
        <a:tint val="50000"/>
      </a:schemeClr>
      <a:schemeClr val="accent6">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6">
        <a:shade val="90000"/>
      </a:schemeClr>
      <a:schemeClr val="accent6">
        <a:tint val="70000"/>
      </a:schemeClr>
    </dgm:fillClrLst>
    <dgm:linClrLst>
      <a:schemeClr val="accent6">
        <a:shade val="90000"/>
      </a:schemeClr>
      <a:schemeClr val="accent6">
        <a:tint val="70000"/>
      </a:schemeClr>
    </dgm:linClrLst>
    <dgm:effectClrLst/>
    <dgm:txLinClrLst/>
    <dgm:txFillClrLst/>
    <dgm:txEffectClrLst/>
  </dgm:styleLbl>
  <dgm:styleLbl name="fgSibTrans2D1">
    <dgm:fillClrLst>
      <a:schemeClr val="accent6">
        <a:shade val="90000"/>
      </a:schemeClr>
      <a:schemeClr val="accent6">
        <a:tint val="70000"/>
      </a:schemeClr>
    </dgm:fillClrLst>
    <dgm:linClrLst>
      <a:schemeClr val="accent6">
        <a:shade val="90000"/>
      </a:schemeClr>
      <a:schemeClr val="accent6">
        <a:tint val="70000"/>
      </a:schemeClr>
    </dgm:linClrLst>
    <dgm:effectClrLst/>
    <dgm:txLinClrLst/>
    <dgm:txFillClrLst meth="repeat">
      <a:schemeClr val="lt1"/>
    </dgm:txFillClrLst>
    <dgm:txEffectClrLst/>
  </dgm:styleLbl>
  <dgm:styleLbl name="bgSibTrans2D1">
    <dgm:fillClrLst>
      <a:schemeClr val="accent6">
        <a:shade val="90000"/>
      </a:schemeClr>
      <a:schemeClr val="accent6">
        <a:tint val="70000"/>
      </a:schemeClr>
    </dgm:fillClrLst>
    <dgm:linClrLst>
      <a:schemeClr val="accent6">
        <a:shade val="90000"/>
      </a:schemeClr>
      <a:schemeClr val="accent6">
        <a:tint val="70000"/>
      </a:schemeClr>
    </dgm:linClrLst>
    <dgm:effectClrLst/>
    <dgm:txLinClrLst/>
    <dgm:txFillClrLst meth="repeat">
      <a:schemeClr val="lt1"/>
    </dgm:txFillClrLst>
    <dgm:txEffectClrLst/>
  </dgm:styleLbl>
  <dgm:styleLbl name="sibTrans1D1">
    <dgm:fillClrLst>
      <a:schemeClr val="accent6">
        <a:shade val="90000"/>
      </a:schemeClr>
      <a:schemeClr val="accent6">
        <a:tint val="70000"/>
      </a:schemeClr>
    </dgm:fillClrLst>
    <dgm:linClrLst>
      <a:schemeClr val="accent6">
        <a:shade val="90000"/>
      </a:schemeClr>
      <a:schemeClr val="accent6">
        <a:tint val="70000"/>
      </a:schemeClr>
    </dgm:linClrLst>
    <dgm:effectClrLst/>
    <dgm:txLinClrLst/>
    <dgm:txFillClrLst meth="repeat">
      <a:schemeClr val="tx1"/>
    </dgm:txFillClrLst>
    <dgm:txEffectClrLst/>
  </dgm:styleLbl>
  <dgm:styleLbl name="callout">
    <dgm:fillClrLst meth="repeat">
      <a:schemeClr val="accent6"/>
    </dgm:fillClrLst>
    <dgm:linClrLst meth="repeat">
      <a:schemeClr val="accent6"/>
    </dgm:linClrLst>
    <dgm:effectClrLst/>
    <dgm:txLinClrLst/>
    <dgm:txFillClrLst meth="repeat">
      <a:schemeClr val="tx1"/>
    </dgm:txFillClrLst>
    <dgm:txEffectClrLst/>
  </dgm:styleLbl>
  <dgm:styleLbl name="asst0">
    <dgm:fillClrLst meth="repeat">
      <a:schemeClr val="accent6">
        <a:shade val="80000"/>
      </a:schemeClr>
    </dgm:fillClrLst>
    <dgm:linClrLst meth="repeat">
      <a:schemeClr val="lt1"/>
    </dgm:linClrLst>
    <dgm:effectClrLst/>
    <dgm:txLinClrLst/>
    <dgm:txFillClrLst/>
    <dgm:txEffectClrLst/>
  </dgm:styleLbl>
  <dgm:styleLbl name="asst1">
    <dgm:fillClrLst meth="repeat">
      <a:schemeClr val="accent6">
        <a:shade val="80000"/>
      </a:schemeClr>
    </dgm:fillClrLst>
    <dgm:linClrLst meth="repeat">
      <a:schemeClr val="lt1"/>
    </dgm:linClrLst>
    <dgm:effectClrLst/>
    <dgm:txLinClrLst/>
    <dgm:txFillClrLst/>
    <dgm:txEffectClrLst/>
  </dgm:styleLbl>
  <dgm:styleLbl name="asst2">
    <dgm:fillClrLst>
      <a:schemeClr val="accent6">
        <a:tint val="99000"/>
      </a:schemeClr>
    </dgm:fillClrLst>
    <dgm:linClrLst meth="repeat">
      <a:schemeClr val="lt1"/>
    </dgm:linClrLst>
    <dgm:effectClrLst/>
    <dgm:txLinClrLst/>
    <dgm:txFillClrLst/>
    <dgm:txEffectClrLst/>
  </dgm:styleLbl>
  <dgm:styleLbl name="asst3">
    <dgm:fillClrLst>
      <a:schemeClr val="accent6">
        <a:tint val="80000"/>
      </a:schemeClr>
    </dgm:fillClrLst>
    <dgm:linClrLst meth="repeat">
      <a:schemeClr val="lt1"/>
    </dgm:linClrLst>
    <dgm:effectClrLst/>
    <dgm:txLinClrLst/>
    <dgm:txFillClrLst/>
    <dgm:txEffectClrLst/>
  </dgm:styleLbl>
  <dgm:styleLbl name="asst4">
    <dgm:fillClrLst>
      <a:schemeClr val="accent6">
        <a:tint val="70000"/>
      </a:schemeClr>
    </dgm:fillClrLst>
    <dgm:linClrLst meth="repeat">
      <a:schemeClr val="lt1"/>
    </dgm:linClrLst>
    <dgm:effectClrLst/>
    <dgm:txLinClrLst/>
    <dgm:txFillClrLst/>
    <dgm:txEffectClrLst/>
  </dgm:styleLbl>
  <dgm:styleLbl name="parChTrans2D1">
    <dgm:fillClrLst meth="repeat">
      <a:schemeClr val="accent6">
        <a:tint val="60000"/>
      </a:schemeClr>
    </dgm:fillClrLst>
    <dgm:linClrLst meth="repeat">
      <a:schemeClr val="accent6">
        <a:tint val="60000"/>
      </a:schemeClr>
    </dgm:linClrLst>
    <dgm:effectClrLst/>
    <dgm:txLinClrLst/>
    <dgm:txFillClrLst meth="repeat">
      <a:schemeClr val="lt1"/>
    </dgm:txFillClrLst>
    <dgm:txEffectClrLst/>
  </dgm:styleLbl>
  <dgm:styleLbl name="parChTrans2D2">
    <dgm:fillClrLst meth="repeat">
      <a:schemeClr val="accent6">
        <a:tint val="90000"/>
      </a:schemeClr>
    </dgm:fillClrLst>
    <dgm:linClrLst meth="repeat">
      <a:schemeClr val="accent6">
        <a:tint val="90000"/>
      </a:schemeClr>
    </dgm:linClrLst>
    <dgm:effectClrLst/>
    <dgm:txLinClrLst/>
    <dgm:txFillClrLst/>
    <dgm:txEffectClrLst/>
  </dgm:styleLbl>
  <dgm:styleLbl name="parChTrans2D3">
    <dgm:fillClrLst meth="repeat">
      <a:schemeClr val="accent6">
        <a:tint val="70000"/>
      </a:schemeClr>
    </dgm:fillClrLst>
    <dgm:linClrLst meth="repeat">
      <a:schemeClr val="accent6">
        <a:tint val="70000"/>
      </a:schemeClr>
    </dgm:linClrLst>
    <dgm:effectClrLst/>
    <dgm:txLinClrLst/>
    <dgm:txFillClrLst/>
    <dgm:txEffectClrLst/>
  </dgm:styleLbl>
  <dgm:styleLbl name="parChTrans2D4">
    <dgm:fillClrLst meth="repeat">
      <a:schemeClr val="accent6">
        <a:tint val="50000"/>
      </a:schemeClr>
    </dgm:fillClrLst>
    <dgm:linClrLst meth="repeat">
      <a:schemeClr val="accent6">
        <a:tint val="50000"/>
      </a:schemeClr>
    </dgm:linClrLst>
    <dgm:effectClrLst/>
    <dgm:txLinClrLst/>
    <dgm:txFillClrLst meth="repeat">
      <a:schemeClr val="lt1"/>
    </dgm:txFillClrLst>
    <dgm:txEffectClrLst/>
  </dgm:styleLbl>
  <dgm:styleLbl name="parChTrans1D1">
    <dgm:fillClrLst meth="repeat">
      <a:schemeClr val="accent6">
        <a:shade val="80000"/>
      </a:schemeClr>
    </dgm:fillClrLst>
    <dgm:linClrLst meth="repeat">
      <a:schemeClr val="accent6">
        <a:shade val="80000"/>
      </a:schemeClr>
    </dgm:linClrLst>
    <dgm:effectClrLst/>
    <dgm:txLinClrLst/>
    <dgm:txFillClrLst meth="repeat">
      <a:schemeClr val="tx1"/>
    </dgm:txFillClrLst>
    <dgm:txEffectClrLst/>
  </dgm:styleLbl>
  <dgm:styleLbl name="parChTrans1D2">
    <dgm:fillClrLst meth="repeat">
      <a:schemeClr val="accent6">
        <a:tint val="99000"/>
      </a:schemeClr>
    </dgm:fillClrLst>
    <dgm:linClrLst meth="repeat">
      <a:schemeClr val="accent6">
        <a:tint val="99000"/>
      </a:schemeClr>
    </dgm:linClrLst>
    <dgm:effectClrLst/>
    <dgm:txLinClrLst/>
    <dgm:txFillClrLst meth="repeat">
      <a:schemeClr val="tx1"/>
    </dgm:txFillClrLst>
    <dgm:txEffectClrLst/>
  </dgm:styleLbl>
  <dgm:styleLbl name="parChTrans1D3">
    <dgm:fillClrLst meth="repeat">
      <a:schemeClr val="accent6">
        <a:tint val="80000"/>
      </a:schemeClr>
    </dgm:fillClrLst>
    <dgm:linClrLst meth="repeat">
      <a:schemeClr val="accent6">
        <a:tint val="80000"/>
      </a:schemeClr>
    </dgm:linClrLst>
    <dgm:effectClrLst/>
    <dgm:txLinClrLst/>
    <dgm:txFillClrLst meth="repeat">
      <a:schemeClr val="tx1"/>
    </dgm:txFillClrLst>
    <dgm:txEffectClrLst/>
  </dgm:styleLbl>
  <dgm:styleLbl name="parChTrans1D4">
    <dgm:fillClrLst meth="repeat">
      <a:schemeClr val="accent6">
        <a:tint val="70000"/>
      </a:schemeClr>
    </dgm:fillClrLst>
    <dgm:linClrLst meth="repeat">
      <a:schemeClr val="accent6">
        <a:tint val="70000"/>
      </a:schemeClr>
    </dgm:linClrLst>
    <dgm:effectClrLst/>
    <dgm:txLinClrLst/>
    <dgm:txFillClrLst meth="repeat">
      <a:schemeClr val="tx1"/>
    </dgm:txFillClrLst>
    <dgm:txEffectClrLst/>
  </dgm:styleLbl>
  <dgm:styleLbl name="fgAcc1">
    <dgm:fillClrLst meth="repeat">
      <a:schemeClr val="lt1">
        <a:alpha val="90000"/>
      </a:schemeClr>
    </dgm:fillClrLst>
    <dgm:linClrLst>
      <a:schemeClr val="accent6">
        <a:shade val="80000"/>
      </a:schemeClr>
      <a:schemeClr val="accent6">
        <a:tint val="70000"/>
      </a:schemeClr>
    </dgm:linClrLst>
    <dgm:effectClrLst/>
    <dgm:txLinClrLst/>
    <dgm:txFillClrLst meth="repeat">
      <a:schemeClr val="dk1"/>
    </dgm:txFillClrLst>
    <dgm:txEffectClrLst/>
  </dgm:styleLbl>
  <dgm:styleLbl name="conFgAcc1">
    <dgm:fillClrLst meth="repeat">
      <a:schemeClr val="lt1">
        <a:alpha val="90000"/>
      </a:schemeClr>
    </dgm:fillClrLst>
    <dgm:linClrLst>
      <a:schemeClr val="accent6">
        <a:shade val="80000"/>
      </a:schemeClr>
      <a:schemeClr val="accent6">
        <a:tint val="70000"/>
      </a:schemeClr>
    </dgm:linClrLst>
    <dgm:effectClrLst/>
    <dgm:txLinClrLst/>
    <dgm:txFillClrLst meth="repeat">
      <a:schemeClr val="dk1"/>
    </dgm:txFillClrLst>
    <dgm:txEffectClrLst/>
  </dgm:styleLbl>
  <dgm:styleLbl name="alignAcc1">
    <dgm:fillClrLst meth="repeat">
      <a:schemeClr val="lt1">
        <a:alpha val="90000"/>
      </a:schemeClr>
    </dgm:fillClrLst>
    <dgm:linClrLst>
      <a:schemeClr val="accent6">
        <a:shade val="80000"/>
      </a:schemeClr>
      <a:schemeClr val="accent6">
        <a:tint val="70000"/>
      </a:schemeClr>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6"/>
    </dgm:linClrLst>
    <dgm:effectClrLst/>
    <dgm:txLinClrLst/>
    <dgm:txFillClrLst meth="repeat">
      <a:schemeClr val="dk1"/>
    </dgm:txFillClrLst>
    <dgm:txEffectClrLst/>
  </dgm:styleLbl>
  <dgm:styleLbl name="bgAcc1">
    <dgm:fillClrLst meth="repeat">
      <a:schemeClr val="lt1">
        <a:alpha val="90000"/>
      </a:schemeClr>
    </dgm:fillClrLst>
    <dgm:linClrLst>
      <a:schemeClr val="accent6">
        <a:shade val="80000"/>
      </a:schemeClr>
      <a:schemeClr val="accent6">
        <a:tint val="70000"/>
      </a:schemeClr>
    </dgm:linClrLst>
    <dgm:effectClrLst/>
    <dgm:txLinClrLst/>
    <dgm:txFillClrLst meth="repeat">
      <a:schemeClr val="dk1"/>
    </dgm:txFillClrLst>
    <dgm:txEffectClrLst/>
  </dgm:styleLbl>
  <dgm:styleLbl name="solidFgAcc1">
    <dgm:fillClrLst meth="repeat">
      <a:schemeClr val="lt1"/>
    </dgm:fillClrLst>
    <dgm:linClrLst>
      <a:schemeClr val="accent6">
        <a:shade val="80000"/>
      </a:schemeClr>
      <a:schemeClr val="accent6">
        <a:tint val="70000"/>
      </a:schemeClr>
    </dgm:linClrLst>
    <dgm:effectClrLst/>
    <dgm:txLinClrLst/>
    <dgm:txFillClrLst meth="repeat">
      <a:schemeClr val="dk1"/>
    </dgm:txFillClrLst>
    <dgm:txEffectClrLst/>
  </dgm:styleLbl>
  <dgm:styleLbl name="solidAlignAcc1">
    <dgm:fillClrLst meth="repeat">
      <a:schemeClr val="lt1"/>
    </dgm:fillClrLst>
    <dgm:linClrLst meth="repeat">
      <a:schemeClr val="accent6"/>
    </dgm:linClrLst>
    <dgm:effectClrLst/>
    <dgm:txLinClrLst/>
    <dgm:txFillClrLst meth="repeat">
      <a:schemeClr val="dk1"/>
    </dgm:txFillClrLst>
    <dgm:txEffectClrLst/>
  </dgm:styleLbl>
  <dgm:styleLbl name="solidBgAcc1">
    <dgm:fillClrLst meth="repeat">
      <a:schemeClr val="lt1"/>
    </dgm:fillClrLst>
    <dgm:linClrLst meth="repeat">
      <a:schemeClr val="accent6"/>
    </dgm:linClrLst>
    <dgm:effectClrLst/>
    <dgm:txLinClrLst/>
    <dgm:txFillClrLst meth="repeat">
      <a:schemeClr val="dk1"/>
    </dgm:txFillClrLst>
    <dgm:txEffectClrLst/>
  </dgm:styleLbl>
  <dgm:styleLbl name="fgAccFollowNode1">
    <dgm:fillClrLst meth="repeat">
      <a:schemeClr val="accent6">
        <a:alpha val="90000"/>
        <a:tint val="40000"/>
      </a:schemeClr>
    </dgm:fillClrLst>
    <dgm:linClrLst meth="repeat">
      <a:schemeClr val="accent6">
        <a:alpha val="90000"/>
        <a:tint val="40000"/>
      </a:schemeClr>
    </dgm:linClrLst>
    <dgm:effectClrLst/>
    <dgm:txLinClrLst/>
    <dgm:txFillClrLst meth="repeat">
      <a:schemeClr val="dk1"/>
    </dgm:txFillClrLst>
    <dgm:txEffectClrLst/>
  </dgm:styleLbl>
  <dgm:styleLbl name="alignAccFollowNode1">
    <dgm:fillClrLst meth="repeat">
      <a:schemeClr val="accent6">
        <a:alpha val="90000"/>
        <a:tint val="40000"/>
      </a:schemeClr>
    </dgm:fillClrLst>
    <dgm:linClrLst meth="repeat">
      <a:schemeClr val="accent6">
        <a:alpha val="90000"/>
        <a:tint val="40000"/>
      </a:schemeClr>
    </dgm:linClrLst>
    <dgm:effectClrLst/>
    <dgm:txLinClrLst/>
    <dgm:txFillClrLst meth="repeat">
      <a:schemeClr val="dk1"/>
    </dgm:txFillClrLst>
    <dgm:txEffectClrLst/>
  </dgm:styleLbl>
  <dgm:styleLbl name="bgAccFollowNode1">
    <dgm:fillClrLst meth="repeat">
      <a:schemeClr val="accent6">
        <a:alpha val="90000"/>
        <a:tint val="40000"/>
      </a:schemeClr>
    </dgm:fillClrLst>
    <dgm:linClrLst meth="repeat">
      <a:schemeClr val="lt1"/>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6">
        <a:shade val="80000"/>
      </a:schemeClr>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6">
        <a:tint val="99000"/>
      </a:schemeClr>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6">
        <a:tint val="80000"/>
      </a:schemeClr>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6">
        <a:tint val="70000"/>
      </a:schemeClr>
    </dgm:linClrLst>
    <dgm:effectClrLst/>
    <dgm:txLinClrLst/>
    <dgm:txFillClrLst meth="repeat">
      <a:schemeClr val="dk1"/>
    </dgm:txFillClrLst>
    <dgm:txEffectClrLst/>
  </dgm:styleLbl>
  <dgm:styleLbl name="bgShp">
    <dgm:fillClrLst meth="repeat">
      <a:schemeClr val="accent6">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6">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6">
        <a:tint val="50000"/>
        <a:alpha val="40000"/>
      </a:schemeClr>
    </dgm:fillClrLst>
    <dgm:linClrLst meth="repeat">
      <a:schemeClr val="accent6"/>
    </dgm:linClrLst>
    <dgm:effectClrLst/>
    <dgm:txLinClrLst/>
    <dgm:txFillClrLst meth="repeat">
      <a:schemeClr val="lt1"/>
    </dgm:txFillClrLst>
    <dgm:txEffectClrLst/>
  </dgm:styleLbl>
  <dgm:styleLbl name="fgShp">
    <dgm:fillClrLst meth="repeat">
      <a:schemeClr val="accent6">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styleLbl name="revTxLt">
    <dgm:fillClrLst meth="repeat">
      <a:schemeClr val="lt1">
        <a:alpha val="0"/>
      </a:schemeClr>
    </dgm:fillClrLst>
    <dgm:linClrLst meth="repeat">
      <a:schemeClr val="dk1">
        <a:alpha val="0"/>
      </a:schemeClr>
    </dgm:linClrLst>
    <dgm:effectClrLst/>
    <dgm:txLinClrLst/>
    <dgm:txFillClrLst/>
    <dgm:txEffectClrLst/>
  </dgm:styleLbl>
</dgm:colorsDef>
</file>

<file path=xl/diagrams/data1.xml><?xml version="1.0" encoding="utf-8"?>
<dgm:dataModel xmlns:dgm="http://schemas.openxmlformats.org/drawingml/2006/diagram" xmlns:a="http://schemas.openxmlformats.org/drawingml/2006/main">
  <dgm:ptLst>
    <dgm:pt modelId="{36C93AF4-7CC8-460B-80A9-D34A423AE0AB}" type="doc">
      <dgm:prSet loTypeId="urn:microsoft.com/office/officeart/2005/8/layout/default" loCatId="list" qsTypeId="urn:microsoft.com/office/officeart/2005/8/quickstyle/simple1" qsCatId="simple" csTypeId="urn:microsoft.com/office/officeart/2005/8/colors/accent6_3" csCatId="accent6" phldr="1"/>
      <dgm:spPr/>
      <dgm:t>
        <a:bodyPr/>
        <a:lstStyle/>
        <a:p>
          <a:endParaRPr lang="en-US"/>
        </a:p>
      </dgm:t>
    </dgm:pt>
    <dgm:pt modelId="{018C6945-8E1A-4CEE-A334-63224F1E813D}">
      <dgm:prSet phldrT="[Text]"/>
      <dgm:spPr/>
      <dgm:t>
        <a:bodyPr/>
        <a:lstStyle/>
        <a:p>
          <a:r>
            <a:rPr lang="en-US"/>
            <a:t>Total sale: </a:t>
          </a:r>
          <a:br>
            <a:rPr lang="en-US"/>
          </a:br>
          <a:r>
            <a:rPr lang="en-US" b="0" i="0" u="none"/>
            <a:t>1101600</a:t>
          </a:r>
          <a:r>
            <a:rPr lang="en-US"/>
            <a:t> </a:t>
          </a:r>
        </a:p>
      </dgm:t>
    </dgm:pt>
    <dgm:pt modelId="{9C937CAF-AC4F-4E5B-93B5-5031200E847E}" type="parTrans" cxnId="{2702878E-FF21-492B-95D1-A242850A9B5A}">
      <dgm:prSet/>
      <dgm:spPr/>
      <dgm:t>
        <a:bodyPr/>
        <a:lstStyle/>
        <a:p>
          <a:endParaRPr lang="en-US"/>
        </a:p>
      </dgm:t>
    </dgm:pt>
    <dgm:pt modelId="{5A31AAA9-CCC6-4F75-8456-1E0CD0DCCA9A}" type="sibTrans" cxnId="{2702878E-FF21-492B-95D1-A242850A9B5A}">
      <dgm:prSet/>
      <dgm:spPr/>
      <dgm:t>
        <a:bodyPr/>
        <a:lstStyle/>
        <a:p>
          <a:endParaRPr lang="en-US"/>
        </a:p>
      </dgm:t>
    </dgm:pt>
    <dgm:pt modelId="{ECA0150B-8D01-466B-BB0B-2EE52EB13724}">
      <dgm:prSet phldrT="[Text]"/>
      <dgm:spPr/>
      <dgm:t>
        <a:bodyPr/>
        <a:lstStyle/>
        <a:p>
          <a:r>
            <a:rPr lang="en-US"/>
            <a:t>Total Error:</a:t>
          </a:r>
          <a:br>
            <a:rPr lang="en-US"/>
          </a:br>
          <a:r>
            <a:rPr lang="en-US"/>
            <a:t>14</a:t>
          </a:r>
        </a:p>
      </dgm:t>
    </dgm:pt>
    <dgm:pt modelId="{7C0E4336-9A71-453D-AB77-1193321D4571}" type="parTrans" cxnId="{33402316-F07E-4D51-9C47-9A357D3FA72D}">
      <dgm:prSet/>
      <dgm:spPr/>
      <dgm:t>
        <a:bodyPr/>
        <a:lstStyle/>
        <a:p>
          <a:endParaRPr lang="en-US"/>
        </a:p>
      </dgm:t>
    </dgm:pt>
    <dgm:pt modelId="{0185212B-A33E-4CBE-9080-2C5D7E32B9EC}" type="sibTrans" cxnId="{33402316-F07E-4D51-9C47-9A357D3FA72D}">
      <dgm:prSet/>
      <dgm:spPr/>
      <dgm:t>
        <a:bodyPr/>
        <a:lstStyle/>
        <a:p>
          <a:endParaRPr lang="en-US"/>
        </a:p>
      </dgm:t>
    </dgm:pt>
    <dgm:pt modelId="{B94C5633-5901-4E89-AB23-0D252E5E6078}">
      <dgm:prSet phldrT="[Text]"/>
      <dgm:spPr/>
      <dgm:t>
        <a:bodyPr/>
        <a:lstStyle/>
        <a:p>
          <a:r>
            <a:rPr lang="en-US"/>
            <a:t>Total Orders:</a:t>
          </a:r>
          <a:br>
            <a:rPr lang="en-US"/>
          </a:br>
          <a:r>
            <a:rPr lang="en-US"/>
            <a:t>30</a:t>
          </a:r>
        </a:p>
      </dgm:t>
    </dgm:pt>
    <dgm:pt modelId="{2E18C1D0-4422-47E8-BC86-7BD3952E3BF8}" type="parTrans" cxnId="{1D94E098-8FCA-469E-8953-73A06F4513A6}">
      <dgm:prSet/>
      <dgm:spPr/>
      <dgm:t>
        <a:bodyPr/>
        <a:lstStyle/>
        <a:p>
          <a:endParaRPr lang="en-US"/>
        </a:p>
      </dgm:t>
    </dgm:pt>
    <dgm:pt modelId="{CA628F69-1FCC-4F14-8834-DF6EA9CEEF78}" type="sibTrans" cxnId="{1D94E098-8FCA-469E-8953-73A06F4513A6}">
      <dgm:prSet/>
      <dgm:spPr/>
      <dgm:t>
        <a:bodyPr/>
        <a:lstStyle/>
        <a:p>
          <a:endParaRPr lang="en-US"/>
        </a:p>
      </dgm:t>
    </dgm:pt>
    <dgm:pt modelId="{32F6ACD5-B612-44EB-9A23-8D40DCAD2FFE}" type="pres">
      <dgm:prSet presAssocID="{36C93AF4-7CC8-460B-80A9-D34A423AE0AB}" presName="diagram" presStyleCnt="0">
        <dgm:presLayoutVars>
          <dgm:dir/>
          <dgm:resizeHandles val="exact"/>
        </dgm:presLayoutVars>
      </dgm:prSet>
      <dgm:spPr/>
    </dgm:pt>
    <dgm:pt modelId="{A9EBE954-84D4-42A9-9451-62367D150AB2}" type="pres">
      <dgm:prSet presAssocID="{018C6945-8E1A-4CEE-A334-63224F1E813D}" presName="node" presStyleLbl="node1" presStyleIdx="0" presStyleCnt="3">
        <dgm:presLayoutVars>
          <dgm:bulletEnabled val="1"/>
        </dgm:presLayoutVars>
      </dgm:prSet>
      <dgm:spPr/>
    </dgm:pt>
    <dgm:pt modelId="{CFDE7426-47D1-404B-B9B6-10D87931CC8D}" type="pres">
      <dgm:prSet presAssocID="{5A31AAA9-CCC6-4F75-8456-1E0CD0DCCA9A}" presName="sibTrans" presStyleCnt="0"/>
      <dgm:spPr/>
    </dgm:pt>
    <dgm:pt modelId="{3DE7FCCE-EE88-407F-AA5B-DCA5D74D7A39}" type="pres">
      <dgm:prSet presAssocID="{ECA0150B-8D01-466B-BB0B-2EE52EB13724}" presName="node" presStyleLbl="node1" presStyleIdx="1" presStyleCnt="3">
        <dgm:presLayoutVars>
          <dgm:bulletEnabled val="1"/>
        </dgm:presLayoutVars>
      </dgm:prSet>
      <dgm:spPr/>
    </dgm:pt>
    <dgm:pt modelId="{A84E3AC4-8A59-4C30-8558-9E1EDC011201}" type="pres">
      <dgm:prSet presAssocID="{0185212B-A33E-4CBE-9080-2C5D7E32B9EC}" presName="sibTrans" presStyleCnt="0"/>
      <dgm:spPr/>
    </dgm:pt>
    <dgm:pt modelId="{D70D034C-9CDF-4F5C-AE17-C42441FCB56D}" type="pres">
      <dgm:prSet presAssocID="{B94C5633-5901-4E89-AB23-0D252E5E6078}" presName="node" presStyleLbl="node1" presStyleIdx="2" presStyleCnt="3" custLinFactNeighborY="2142">
        <dgm:presLayoutVars>
          <dgm:bulletEnabled val="1"/>
        </dgm:presLayoutVars>
      </dgm:prSet>
      <dgm:spPr/>
    </dgm:pt>
  </dgm:ptLst>
  <dgm:cxnLst>
    <dgm:cxn modelId="{33402316-F07E-4D51-9C47-9A357D3FA72D}" srcId="{36C93AF4-7CC8-460B-80A9-D34A423AE0AB}" destId="{ECA0150B-8D01-466B-BB0B-2EE52EB13724}" srcOrd="1" destOrd="0" parTransId="{7C0E4336-9A71-453D-AB77-1193321D4571}" sibTransId="{0185212B-A33E-4CBE-9080-2C5D7E32B9EC}"/>
    <dgm:cxn modelId="{3D297F23-D261-4F59-A010-086F3EC428D6}" type="presOf" srcId="{B94C5633-5901-4E89-AB23-0D252E5E6078}" destId="{D70D034C-9CDF-4F5C-AE17-C42441FCB56D}" srcOrd="0" destOrd="0" presId="urn:microsoft.com/office/officeart/2005/8/layout/default"/>
    <dgm:cxn modelId="{1F467D58-AFFC-48C0-ADE3-32D503A1C85E}" type="presOf" srcId="{36C93AF4-7CC8-460B-80A9-D34A423AE0AB}" destId="{32F6ACD5-B612-44EB-9A23-8D40DCAD2FFE}" srcOrd="0" destOrd="0" presId="urn:microsoft.com/office/officeart/2005/8/layout/default"/>
    <dgm:cxn modelId="{503A9478-134F-4A10-AEE0-A7F0F886DD4E}" type="presOf" srcId="{018C6945-8E1A-4CEE-A334-63224F1E813D}" destId="{A9EBE954-84D4-42A9-9451-62367D150AB2}" srcOrd="0" destOrd="0" presId="urn:microsoft.com/office/officeart/2005/8/layout/default"/>
    <dgm:cxn modelId="{2702878E-FF21-492B-95D1-A242850A9B5A}" srcId="{36C93AF4-7CC8-460B-80A9-D34A423AE0AB}" destId="{018C6945-8E1A-4CEE-A334-63224F1E813D}" srcOrd="0" destOrd="0" parTransId="{9C937CAF-AC4F-4E5B-93B5-5031200E847E}" sibTransId="{5A31AAA9-CCC6-4F75-8456-1E0CD0DCCA9A}"/>
    <dgm:cxn modelId="{1D94E098-8FCA-469E-8953-73A06F4513A6}" srcId="{36C93AF4-7CC8-460B-80A9-D34A423AE0AB}" destId="{B94C5633-5901-4E89-AB23-0D252E5E6078}" srcOrd="2" destOrd="0" parTransId="{2E18C1D0-4422-47E8-BC86-7BD3952E3BF8}" sibTransId="{CA628F69-1FCC-4F14-8834-DF6EA9CEEF78}"/>
    <dgm:cxn modelId="{F20372C5-C3B4-419B-A06C-32AD2C377BFB}" type="presOf" srcId="{ECA0150B-8D01-466B-BB0B-2EE52EB13724}" destId="{3DE7FCCE-EE88-407F-AA5B-DCA5D74D7A39}" srcOrd="0" destOrd="0" presId="urn:microsoft.com/office/officeart/2005/8/layout/default"/>
    <dgm:cxn modelId="{5008711B-3499-43D5-A297-469BB8BCA488}" type="presParOf" srcId="{32F6ACD5-B612-44EB-9A23-8D40DCAD2FFE}" destId="{A9EBE954-84D4-42A9-9451-62367D150AB2}" srcOrd="0" destOrd="0" presId="urn:microsoft.com/office/officeart/2005/8/layout/default"/>
    <dgm:cxn modelId="{78F5A6FD-A229-44E2-9D15-4761AAFBD748}" type="presParOf" srcId="{32F6ACD5-B612-44EB-9A23-8D40DCAD2FFE}" destId="{CFDE7426-47D1-404B-B9B6-10D87931CC8D}" srcOrd="1" destOrd="0" presId="urn:microsoft.com/office/officeart/2005/8/layout/default"/>
    <dgm:cxn modelId="{01EA3427-8AE4-4B33-927C-5F20F9DAB828}" type="presParOf" srcId="{32F6ACD5-B612-44EB-9A23-8D40DCAD2FFE}" destId="{3DE7FCCE-EE88-407F-AA5B-DCA5D74D7A39}" srcOrd="2" destOrd="0" presId="urn:microsoft.com/office/officeart/2005/8/layout/default"/>
    <dgm:cxn modelId="{AB0B5BB7-4187-4587-9682-A9ECAD72EA85}" type="presParOf" srcId="{32F6ACD5-B612-44EB-9A23-8D40DCAD2FFE}" destId="{A84E3AC4-8A59-4C30-8558-9E1EDC011201}" srcOrd="3" destOrd="0" presId="urn:microsoft.com/office/officeart/2005/8/layout/default"/>
    <dgm:cxn modelId="{7B5B64FB-BC6A-4102-93F1-230F4784B68F}" type="presParOf" srcId="{32F6ACD5-B612-44EB-9A23-8D40DCAD2FFE}" destId="{D70D034C-9CDF-4F5C-AE17-C42441FCB56D}" srcOrd="4" destOrd="0" presId="urn:microsoft.com/office/officeart/2005/8/layout/default"/>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A9EBE954-84D4-42A9-9451-62367D150AB2}">
      <dsp:nvSpPr>
        <dsp:cNvPr id="0" name=""/>
        <dsp:cNvSpPr/>
      </dsp:nvSpPr>
      <dsp:spPr>
        <a:xfrm>
          <a:off x="0" y="374792"/>
          <a:ext cx="1203377" cy="722026"/>
        </a:xfrm>
        <a:prstGeom prst="rect">
          <a:avLst/>
        </a:prstGeom>
        <a:solidFill>
          <a:schemeClr val="accent6">
            <a:shade val="8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0960" tIns="60960" rIns="60960" bIns="60960" numCol="1" spcCol="1270" anchor="ctr" anchorCtr="0">
          <a:noAutofit/>
        </a:bodyPr>
        <a:lstStyle/>
        <a:p>
          <a:pPr marL="0" lvl="0" indent="0" algn="ctr" defTabSz="711200">
            <a:lnSpc>
              <a:spcPct val="90000"/>
            </a:lnSpc>
            <a:spcBef>
              <a:spcPct val="0"/>
            </a:spcBef>
            <a:spcAft>
              <a:spcPct val="35000"/>
            </a:spcAft>
            <a:buNone/>
          </a:pPr>
          <a:r>
            <a:rPr lang="en-US" sz="1600" kern="1200"/>
            <a:t>Total sale: </a:t>
          </a:r>
          <a:br>
            <a:rPr lang="en-US" sz="1600" kern="1200"/>
          </a:br>
          <a:r>
            <a:rPr lang="en-US" sz="1600" b="0" i="0" u="none" kern="1200"/>
            <a:t>1101600</a:t>
          </a:r>
          <a:r>
            <a:rPr lang="en-US" sz="1600" kern="1200"/>
            <a:t> </a:t>
          </a:r>
        </a:p>
      </dsp:txBody>
      <dsp:txXfrm>
        <a:off x="0" y="374792"/>
        <a:ext cx="1203377" cy="722026"/>
      </dsp:txXfrm>
    </dsp:sp>
    <dsp:sp modelId="{3DE7FCCE-EE88-407F-AA5B-DCA5D74D7A39}">
      <dsp:nvSpPr>
        <dsp:cNvPr id="0" name=""/>
        <dsp:cNvSpPr/>
      </dsp:nvSpPr>
      <dsp:spPr>
        <a:xfrm>
          <a:off x="1323714" y="374792"/>
          <a:ext cx="1203377" cy="722026"/>
        </a:xfrm>
        <a:prstGeom prst="rect">
          <a:avLst/>
        </a:prstGeom>
        <a:solidFill>
          <a:schemeClr val="accent6">
            <a:shade val="80000"/>
            <a:hueOff val="160640"/>
            <a:satOff val="-6455"/>
            <a:lumOff val="13814"/>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0960" tIns="60960" rIns="60960" bIns="60960" numCol="1" spcCol="1270" anchor="ctr" anchorCtr="0">
          <a:noAutofit/>
        </a:bodyPr>
        <a:lstStyle/>
        <a:p>
          <a:pPr marL="0" lvl="0" indent="0" algn="ctr" defTabSz="711200">
            <a:lnSpc>
              <a:spcPct val="90000"/>
            </a:lnSpc>
            <a:spcBef>
              <a:spcPct val="0"/>
            </a:spcBef>
            <a:spcAft>
              <a:spcPct val="35000"/>
            </a:spcAft>
            <a:buNone/>
          </a:pPr>
          <a:r>
            <a:rPr lang="en-US" sz="1600" kern="1200"/>
            <a:t>Total Error:</a:t>
          </a:r>
          <a:br>
            <a:rPr lang="en-US" sz="1600" kern="1200"/>
          </a:br>
          <a:r>
            <a:rPr lang="en-US" sz="1600" kern="1200"/>
            <a:t>14</a:t>
          </a:r>
        </a:p>
      </dsp:txBody>
      <dsp:txXfrm>
        <a:off x="1323714" y="374792"/>
        <a:ext cx="1203377" cy="722026"/>
      </dsp:txXfrm>
    </dsp:sp>
    <dsp:sp modelId="{D70D034C-9CDF-4F5C-AE17-C42441FCB56D}">
      <dsp:nvSpPr>
        <dsp:cNvPr id="0" name=""/>
        <dsp:cNvSpPr/>
      </dsp:nvSpPr>
      <dsp:spPr>
        <a:xfrm>
          <a:off x="2647429" y="390258"/>
          <a:ext cx="1203377" cy="722026"/>
        </a:xfrm>
        <a:prstGeom prst="rect">
          <a:avLst/>
        </a:prstGeom>
        <a:solidFill>
          <a:schemeClr val="accent6">
            <a:shade val="80000"/>
            <a:hueOff val="321280"/>
            <a:satOff val="-12909"/>
            <a:lumOff val="27628"/>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0960" tIns="60960" rIns="60960" bIns="60960" numCol="1" spcCol="1270" anchor="ctr" anchorCtr="0">
          <a:noAutofit/>
        </a:bodyPr>
        <a:lstStyle/>
        <a:p>
          <a:pPr marL="0" lvl="0" indent="0" algn="ctr" defTabSz="711200">
            <a:lnSpc>
              <a:spcPct val="90000"/>
            </a:lnSpc>
            <a:spcBef>
              <a:spcPct val="0"/>
            </a:spcBef>
            <a:spcAft>
              <a:spcPct val="35000"/>
            </a:spcAft>
            <a:buNone/>
          </a:pPr>
          <a:r>
            <a:rPr lang="en-US" sz="1600" kern="1200"/>
            <a:t>Total Orders:</a:t>
          </a:r>
          <a:br>
            <a:rPr lang="en-US" sz="1600" kern="1200"/>
          </a:br>
          <a:r>
            <a:rPr lang="en-US" sz="1600" kern="1200"/>
            <a:t>30</a:t>
          </a:r>
        </a:p>
      </dsp:txBody>
      <dsp:txXfrm>
        <a:off x="2647429" y="390258"/>
        <a:ext cx="1203377" cy="722026"/>
      </dsp:txXfrm>
    </dsp:sp>
  </dsp:spTree>
</dsp:drawing>
</file>

<file path=xl/diagrams/layout1.xml><?xml version="1.0" encoding="utf-8"?>
<dgm:layoutDef xmlns:dgm="http://schemas.openxmlformats.org/drawingml/2006/diagram" xmlns:a="http://schemas.openxmlformats.org/drawingml/2006/main" uniqueId="urn:microsoft.com/office/officeart/2005/8/layout/default">
  <dgm:title val=""/>
  <dgm:desc val=""/>
  <dgm:catLst>
    <dgm:cat type="list" pri="400"/>
  </dgm:catLst>
  <dgm:sampData>
    <dgm:dataModel>
      <dgm:ptLst>
        <dgm:pt modelId="0" type="doc"/>
        <dgm:pt modelId="1">
          <dgm:prSet phldr="1"/>
        </dgm:pt>
        <dgm:pt modelId="2">
          <dgm:prSet phldr="1"/>
        </dgm:pt>
        <dgm:pt modelId="3">
          <dgm:prSet phldr="1"/>
        </dgm:pt>
        <dgm:pt modelId="4">
          <dgm:prSet phldr="1"/>
        </dgm:pt>
        <dgm:pt modelId="5">
          <dgm:prSet phldr="1"/>
        </dgm:pt>
      </dgm:ptLst>
      <dgm:cxnLst>
        <dgm:cxn modelId="6" srcId="0" destId="1" srcOrd="0" destOrd="0"/>
        <dgm:cxn modelId="7" srcId="0" destId="2" srcOrd="1" destOrd="0"/>
        <dgm:cxn modelId="8" srcId="0" destId="3" srcOrd="2" destOrd="0"/>
        <dgm:cxn modelId="9" srcId="0" destId="4" srcOrd="3" destOrd="0"/>
        <dgm:cxn modelId="10" srcId="0" destId="5" srcOrd="4"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 modelId="5"/>
        <dgm:pt modelId="6"/>
      </dgm:ptLst>
      <dgm:cxnLst>
        <dgm:cxn modelId="7" srcId="0" destId="1" srcOrd="0" destOrd="0"/>
        <dgm:cxn modelId="8" srcId="0" destId="2" srcOrd="1" destOrd="0"/>
        <dgm:cxn modelId="9" srcId="0" destId="3" srcOrd="2" destOrd="0"/>
        <dgm:cxn modelId="10" srcId="0" destId="4" srcOrd="3" destOrd="0"/>
        <dgm:cxn modelId="11" srcId="0" destId="5" srcOrd="4" destOrd="0"/>
        <dgm:cxn modelId="12" srcId="0" destId="6" srcOrd="5" destOrd="0"/>
      </dgm:cxnLst>
      <dgm:bg/>
      <dgm:whole/>
    </dgm:dataModel>
  </dgm:clrData>
  <dgm:layoutNode name="diagram">
    <dgm:varLst>
      <dgm:dir/>
      <dgm:resizeHandles val="exact"/>
    </dgm:varLst>
    <dgm:choose name="Name0">
      <dgm:if name="Name1" func="var" arg="dir" op="equ" val="norm">
        <dgm:alg type="snake">
          <dgm:param type="grDir" val="tL"/>
          <dgm:param type="flowDir" val="row"/>
          <dgm:param type="contDir" val="sameDir"/>
          <dgm:param type="off" val="ctr"/>
        </dgm:alg>
      </dgm:if>
      <dgm:else name="Name2">
        <dgm:alg type="snake">
          <dgm:param type="grDir" val="tR"/>
          <dgm:param type="flowDir" val="row"/>
          <dgm:param type="contDir" val="sameDir"/>
          <dgm:param type="off" val="ctr"/>
        </dgm:alg>
      </dgm:else>
    </dgm:choose>
    <dgm:shape xmlns:r="http://schemas.openxmlformats.org/officeDocument/2006/relationships" r:blip="">
      <dgm:adjLst/>
    </dgm:shape>
    <dgm:presOf/>
    <dgm:constrLst>
      <dgm:constr type="w" for="ch" forName="node" refType="w"/>
      <dgm:constr type="h" for="ch" forName="node" refType="w" refFor="ch" refForName="node" fact="0.6"/>
      <dgm:constr type="w" for="ch" forName="sibTrans" refType="w" refFor="ch" refForName="node" fact="0.1"/>
      <dgm:constr type="sp" refType="w" refFor="ch" refForName="sibTrans"/>
      <dgm:constr type="primFontSz" for="ch" forName="node" op="equ" val="65"/>
    </dgm:constrLst>
    <dgm:ruleLst/>
    <dgm:forEach name="Name3" axis="ch" ptType="node">
      <dgm:layoutNode name="node">
        <dgm:varLst>
          <dgm:bulletEnabled val="1"/>
        </dgm:varLst>
        <dgm:alg type="tx"/>
        <dgm:shape xmlns:r="http://schemas.openxmlformats.org/officeDocument/2006/relationships" type="rect" r:blip="">
          <dgm:adjLst/>
        </dgm:shape>
        <dgm:presOf axis="desOr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forEach name="Name4" axis="followSib" ptType="sibTrans" cnt="1">
        <dgm:layoutNode name="sibTrans">
          <dgm:alg type="sp"/>
          <dgm:shape xmlns:r="http://schemas.openxmlformats.org/officeDocument/2006/relationships" r:blip="">
            <dgm:adjLst/>
          </dgm:shape>
          <dgm:presOf/>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0NoLn">
    <dgm:scene3d>
      <a:camera prst="orthographicFront"/>
      <a:lightRig rig="threePt" dir="t"/>
    </dgm:scene3d>
    <dgm:sp3d/>
    <dgm:txPr/>
    <dgm:style>
      <a:lnRef idx="1">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NoLn">
    <dgm:scene3d>
      <a:camera prst="orthographicFront"/>
      <a:lightRig rig="threePt" dir="t"/>
    </dgm:scene3d>
    <dgm:sp3d/>
    <dgm:txPr/>
    <dgm:style>
      <a:lnRef idx="1">
        <a:scrgbClr r="0" g="0" b="0"/>
      </a:lnRef>
      <a:fillRef idx="1">
        <a:scrgbClr r="0" g="0" b="0"/>
      </a:fillRef>
      <a:effectRef idx="0">
        <a:scrgbClr r="0" g="0" b="0"/>
      </a:effectRef>
      <a:fontRef idx="minor">
        <a:schemeClr val="lt1"/>
      </a:fontRef>
    </dgm:style>
  </dgm:styleLbl>
  <dgm:styleLbl name="ltNode1NoLn">
    <dgm:scene3d>
      <a:camera prst="orthographicFront"/>
      <a:lightRig rig="threePt" dir="t"/>
    </dgm:scene3d>
    <dgm:sp3d/>
    <dgm:txPr/>
    <dgm:style>
      <a:lnRef idx="1">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NoLn">
    <dgm:scene3d>
      <a:camera prst="orthographicFront"/>
      <a:lightRig rig="threePt" dir="t"/>
    </dgm:scene3d>
    <dgm:sp3d/>
    <dgm:txPr/>
    <dgm:style>
      <a:lnRef idx="1">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NoLn">
    <dgm:scene3d>
      <a:camera prst="orthographicFront"/>
      <a:lightRig rig="threePt" dir="t"/>
    </dgm:scene3d>
    <dgm:sp3d/>
    <dgm:txPr/>
    <dgm:style>
      <a:lnRef idx="1">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NoLn">
    <dgm:scene3d>
      <a:camera prst="orthographicFront"/>
      <a:lightRig rig="threePt" dir="t"/>
    </dgm:scene3d>
    <dgm:sp3d/>
    <dgm:txPr/>
    <dgm:style>
      <a:lnRef idx="1">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Lbl name="revTxLt">
    <dgm:scene3d>
      <a:camera prst="orthographicFront"/>
      <a:lightRig rig="threePt" dir="t"/>
    </dgm:scene3d>
    <dgm:sp3d/>
    <dgm:txPr/>
    <dgm:style>
      <a:lnRef idx="0">
        <a:scrgbClr r="0" g="0" b="0"/>
      </a:lnRef>
      <a:fillRef idx="0">
        <a:scrgbClr r="0" g="0" b="0"/>
      </a:fillRef>
      <a:effectRef idx="0">
        <a:scrgbClr r="0" g="0" b="0"/>
      </a:effectRef>
      <a:fontRef idx="minor">
        <a:schemeClr val="lt1"/>
      </a:fontRef>
    </dgm:style>
  </dgm:styleLbl>
</dgm:styleDef>
</file>

<file path=xl/drawings/_rels/drawing2.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editAs="oneCell">
    <xdr:from>
      <xdr:col>7</xdr:col>
      <xdr:colOff>307920</xdr:colOff>
      <xdr:row>14</xdr:row>
      <xdr:rowOff>10198</xdr:rowOff>
    </xdr:from>
    <xdr:to>
      <xdr:col>8</xdr:col>
      <xdr:colOff>773010</xdr:colOff>
      <xdr:row>20</xdr:row>
      <xdr:rowOff>35688</xdr:rowOff>
    </xdr:to>
    <mc:AlternateContent xmlns:mc="http://schemas.openxmlformats.org/markup-compatibility/2006">
      <mc:Choice xmlns:a14="http://schemas.microsoft.com/office/drawing/2010/main" Requires="a14">
        <xdr:graphicFrame macro="">
          <xdr:nvGraphicFramePr>
            <xdr:cNvPr id="3" name="City">
              <a:extLst>
                <a:ext uri="{FF2B5EF4-FFF2-40B4-BE49-F238E27FC236}">
                  <a16:creationId xmlns:a16="http://schemas.microsoft.com/office/drawing/2014/main" id="{4C84BD73-CE35-804A-13B8-CE2C049BB37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6518220" y="2696248"/>
              <a:ext cx="1093740" cy="11684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3878</xdr:colOff>
      <xdr:row>14</xdr:row>
      <xdr:rowOff>14414</xdr:rowOff>
    </xdr:from>
    <xdr:to>
      <xdr:col>5</xdr:col>
      <xdr:colOff>216092</xdr:colOff>
      <xdr:row>20</xdr:row>
      <xdr:rowOff>39904</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FB641084-4E70-47BD-F9A6-6A7C7719183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528128" y="2700464"/>
              <a:ext cx="1098039" cy="11684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228380</xdr:colOff>
      <xdr:row>5</xdr:row>
      <xdr:rowOff>15838</xdr:rowOff>
    </xdr:from>
    <xdr:to>
      <xdr:col>5</xdr:col>
      <xdr:colOff>660771</xdr:colOff>
      <xdr:row>12</xdr:row>
      <xdr:rowOff>153950</xdr:rowOff>
    </xdr:to>
    <xdr:graphicFrame macro="">
      <xdr:nvGraphicFramePr>
        <xdr:cNvPr id="4" name="Diagram 3">
          <a:extLst>
            <a:ext uri="{FF2B5EF4-FFF2-40B4-BE49-F238E27FC236}">
              <a16:creationId xmlns:a16="http://schemas.microsoft.com/office/drawing/2014/main" id="{DBF05301-659B-E27B-1CC1-0842906835DE}"/>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editAs="oneCell">
    <xdr:from>
      <xdr:col>1</xdr:col>
      <xdr:colOff>787030</xdr:colOff>
      <xdr:row>28</xdr:row>
      <xdr:rowOff>44525</xdr:rowOff>
    </xdr:from>
    <xdr:to>
      <xdr:col>3</xdr:col>
      <xdr:colOff>109648</xdr:colOff>
      <xdr:row>34</xdr:row>
      <xdr:rowOff>103536</xdr:rowOff>
    </xdr:to>
    <mc:AlternateContent xmlns:mc="http://schemas.openxmlformats.org/markup-compatibility/2006">
      <mc:Choice xmlns:a14="http://schemas.microsoft.com/office/drawing/2010/main" Requires="a14">
        <xdr:graphicFrame macro="">
          <xdr:nvGraphicFramePr>
            <xdr:cNvPr id="5" name="City 1">
              <a:extLst>
                <a:ext uri="{FF2B5EF4-FFF2-40B4-BE49-F238E27FC236}">
                  <a16:creationId xmlns:a16="http://schemas.microsoft.com/office/drawing/2014/main" id="{D417C962-2310-B984-3F5B-E7F3B87D8A40}"/>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665447" y="5505525"/>
              <a:ext cx="1375784" cy="12020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155280</xdr:colOff>
      <xdr:row>28</xdr:row>
      <xdr:rowOff>66676</xdr:rowOff>
    </xdr:from>
    <xdr:to>
      <xdr:col>5</xdr:col>
      <xdr:colOff>73143</xdr:colOff>
      <xdr:row>34</xdr:row>
      <xdr:rowOff>125687</xdr:rowOff>
    </xdr:to>
    <mc:AlternateContent xmlns:mc="http://schemas.openxmlformats.org/markup-compatibility/2006">
      <mc:Choice xmlns:a14="http://schemas.microsoft.com/office/drawing/2010/main" Requires="a14">
        <xdr:graphicFrame macro="">
          <xdr:nvGraphicFramePr>
            <xdr:cNvPr id="6" name="Category 1">
              <a:extLst>
                <a:ext uri="{FF2B5EF4-FFF2-40B4-BE49-F238E27FC236}">
                  <a16:creationId xmlns:a16="http://schemas.microsoft.com/office/drawing/2014/main" id="{5627F26B-61A6-DCC8-9665-60FC590BDE3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3086863" y="5527676"/>
              <a:ext cx="1283113" cy="12020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yed muhammad zaid" refreshedDate="46286.455052662037" createdVersion="8" refreshedVersion="8" minRefreshableVersion="3" recordCount="30" xr:uid="{2B6ECFE3-AD28-4012-979C-925C0ADC2582}">
  <cacheSource type="worksheet">
    <worksheetSource ref="A2:L32" sheet="02_Calculations"/>
  </cacheSource>
  <cacheFields count="12">
    <cacheField name="Order_ID" numFmtId="0">
      <sharedItems/>
    </cacheField>
    <cacheField name="Date" numFmtId="14">
      <sharedItems containsDate="1" containsMixedTypes="1" minDate="2026-01-09T00:00:00" maxDate="2026-12-10T00:00:00"/>
    </cacheField>
    <cacheField name="Salesperson" numFmtId="0">
      <sharedItems count="5">
        <s v="Rahul"/>
        <s v="Priya"/>
        <s v="Arman"/>
        <s v="Hamza"/>
        <s v="Sara"/>
      </sharedItems>
    </cacheField>
    <cacheField name="City" numFmtId="0">
      <sharedItems count="3">
        <s v="Lucknow"/>
        <s v="Delhi"/>
        <s v="Mumbai"/>
      </sharedItems>
    </cacheField>
    <cacheField name="Category" numFmtId="0">
      <sharedItems count="3">
        <s v="Electronics"/>
        <s v="Clothing"/>
        <s v="Furniture"/>
      </sharedItems>
    </cacheField>
    <cacheField name="Product" numFmtId="0">
      <sharedItems/>
    </cacheField>
    <cacheField name="Quantity" numFmtId="1">
      <sharedItems containsSemiMixedTypes="0" containsString="0" containsNumber="1" containsInteger="1" minValue="1" maxValue="9"/>
    </cacheField>
    <cacheField name="Sales" numFmtId="1">
      <sharedItems containsSemiMixedTypes="0" containsString="0" containsNumber="1" containsInteger="1" minValue="4800" maxValue="110000" count="16">
        <n v="110000"/>
        <n v="6000"/>
        <n v="15000"/>
        <n v="36000"/>
        <n v="4800"/>
        <n v="55000"/>
        <n v="25000"/>
        <n v="9600"/>
        <n v="54000"/>
        <n v="20000"/>
        <n v="7200"/>
        <n v="8400"/>
        <n v="72000"/>
        <n v="30000"/>
        <n v="10800"/>
        <n v="35000"/>
      </sharedItems>
    </cacheField>
    <cacheField name="Errors" numFmtId="1">
      <sharedItems containsSemiMixedTypes="0" containsString="0" containsNumber="1" containsInteger="1" minValue="0" maxValue="2"/>
    </cacheField>
    <cacheField name="Month" numFmtId="0">
      <sharedItems/>
    </cacheField>
    <cacheField name="Error Status" numFmtId="0">
      <sharedItems/>
    </cacheField>
    <cacheField name="Sales Level" numFmtId="0">
      <sharedItems/>
    </cacheField>
  </cacheFields>
  <extLst>
    <ext xmlns:x14="http://schemas.microsoft.com/office/spreadsheetml/2009/9/main" uri="{725AE2AE-9491-48be-B2B4-4EB974FC3084}">
      <x14:pivotCacheDefinition pivotCacheId="19342284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s v="O001"/>
    <d v="2026-01-09T00:00:00"/>
    <x v="0"/>
    <x v="0"/>
    <x v="0"/>
    <s v="Laptop"/>
    <n v="2"/>
    <x v="0"/>
    <n v="0"/>
    <s v="January"/>
    <s v="No Error"/>
    <s v="High"/>
  </r>
  <r>
    <s v="O002"/>
    <d v="2026-02-09T00:00:00"/>
    <x v="1"/>
    <x v="1"/>
    <x v="1"/>
    <s v="Shirt"/>
    <n v="5"/>
    <x v="1"/>
    <n v="1"/>
    <s v="February"/>
    <s v="No Error"/>
    <s v="Low"/>
  </r>
  <r>
    <s v="O003"/>
    <d v="2026-03-09T00:00:00"/>
    <x v="2"/>
    <x v="2"/>
    <x v="2"/>
    <s v="Chair"/>
    <n v="3"/>
    <x v="2"/>
    <n v="0"/>
    <s v="March"/>
    <s v="No Error"/>
    <s v="Low"/>
  </r>
  <r>
    <s v="O004"/>
    <d v="2026-04-09T00:00:00"/>
    <x v="0"/>
    <x v="0"/>
    <x v="0"/>
    <s v="Monitor"/>
    <n v="2"/>
    <x v="3"/>
    <n v="1"/>
    <s v="April"/>
    <s v="No Error"/>
    <s v="Medium"/>
  </r>
  <r>
    <s v="O005"/>
    <d v="2026-05-09T00:00:00"/>
    <x v="3"/>
    <x v="1"/>
    <x v="1"/>
    <s v="Shirt"/>
    <n v="4"/>
    <x v="4"/>
    <n v="2"/>
    <s v="May"/>
    <s v="Error"/>
    <s v="Low"/>
  </r>
  <r>
    <s v="O006"/>
    <d v="2026-06-09T00:00:00"/>
    <x v="4"/>
    <x v="2"/>
    <x v="0"/>
    <s v="Laptop"/>
    <n v="1"/>
    <x v="5"/>
    <n v="0"/>
    <s v="June"/>
    <s v="No Error"/>
    <s v="High"/>
  </r>
  <r>
    <s v="O007"/>
    <d v="2026-07-09T00:00:00"/>
    <x v="0"/>
    <x v="1"/>
    <x v="2"/>
    <s v="Chair"/>
    <n v="5"/>
    <x v="6"/>
    <n v="0"/>
    <s v="July"/>
    <s v="No Error"/>
    <s v="Medium"/>
  </r>
  <r>
    <s v="O008"/>
    <d v="2026-08-09T00:00:00"/>
    <x v="2"/>
    <x v="0"/>
    <x v="1"/>
    <s v="Shirt"/>
    <n v="8"/>
    <x v="7"/>
    <n v="1"/>
    <s v="August"/>
    <s v="No Error"/>
    <s v="Low"/>
  </r>
  <r>
    <s v="O009"/>
    <d v="2026-09-09T00:00:00"/>
    <x v="3"/>
    <x v="2"/>
    <x v="0"/>
    <s v="Monitor"/>
    <n v="3"/>
    <x v="8"/>
    <n v="0"/>
    <s v="September"/>
    <s v="No Error"/>
    <s v="High"/>
  </r>
  <r>
    <s v="O010"/>
    <d v="2026-10-09T00:00:00"/>
    <x v="1"/>
    <x v="0"/>
    <x v="2"/>
    <s v="Chair"/>
    <n v="4"/>
    <x v="9"/>
    <n v="0"/>
    <s v="October"/>
    <s v="No Error"/>
    <s v="Medium"/>
  </r>
  <r>
    <s v="O011"/>
    <d v="2026-11-09T00:00:00"/>
    <x v="4"/>
    <x v="1"/>
    <x v="0"/>
    <s v="Laptop"/>
    <n v="2"/>
    <x v="0"/>
    <n v="0"/>
    <s v="November"/>
    <s v="No Error"/>
    <s v="High"/>
  </r>
  <r>
    <s v="O012"/>
    <d v="2026-12-09T00:00:00"/>
    <x v="0"/>
    <x v="2"/>
    <x v="1"/>
    <s v="Shirt"/>
    <n v="6"/>
    <x v="10"/>
    <n v="1"/>
    <s v="December"/>
    <s v="No Error"/>
    <s v="Low"/>
  </r>
  <r>
    <s v="O013"/>
    <s v="13/09/2026"/>
    <x v="2"/>
    <x v="1"/>
    <x v="0"/>
    <s v="Monitor"/>
    <n v="2"/>
    <x v="3"/>
    <n v="0"/>
    <s v="13/09/2026"/>
    <s v="No Error"/>
    <s v="Medium"/>
  </r>
  <r>
    <s v="O014"/>
    <s v="14/09/2026"/>
    <x v="3"/>
    <x v="0"/>
    <x v="2"/>
    <s v="Chair"/>
    <n v="3"/>
    <x v="2"/>
    <n v="2"/>
    <s v="14/09/2026"/>
    <s v="Error"/>
    <s v="Low"/>
  </r>
  <r>
    <s v="O015"/>
    <s v="15/09/2026"/>
    <x v="1"/>
    <x v="2"/>
    <x v="0"/>
    <s v="Laptop"/>
    <n v="1"/>
    <x v="5"/>
    <n v="0"/>
    <s v="15/09/2026"/>
    <s v="No Error"/>
    <s v="High"/>
  </r>
  <r>
    <s v="O016"/>
    <s v="16/09/2026"/>
    <x v="4"/>
    <x v="0"/>
    <x v="1"/>
    <s v="Shirt"/>
    <n v="7"/>
    <x v="11"/>
    <n v="0"/>
    <s v="16/09/2026"/>
    <s v="No Error"/>
    <s v="Low"/>
  </r>
  <r>
    <s v="O017"/>
    <s v="17/09/2026"/>
    <x v="0"/>
    <x v="1"/>
    <x v="0"/>
    <s v="Monitor"/>
    <n v="4"/>
    <x v="12"/>
    <n v="1"/>
    <s v="17/09/2026"/>
    <s v="No Error"/>
    <s v="High"/>
  </r>
  <r>
    <s v="O018"/>
    <s v="18/09/2026"/>
    <x v="2"/>
    <x v="2"/>
    <x v="2"/>
    <s v="Chair"/>
    <n v="6"/>
    <x v="13"/>
    <n v="0"/>
    <s v="18/09/2026"/>
    <s v="No Error"/>
    <s v="Medium"/>
  </r>
  <r>
    <s v="O019"/>
    <s v="19/09/2026"/>
    <x v="3"/>
    <x v="0"/>
    <x v="0"/>
    <s v="Laptop"/>
    <n v="1"/>
    <x v="5"/>
    <n v="1"/>
    <s v="19/09/2026"/>
    <s v="No Error"/>
    <s v="High"/>
  </r>
  <r>
    <s v="O020"/>
    <s v="20/09/2026"/>
    <x v="4"/>
    <x v="1"/>
    <x v="2"/>
    <s v="Chair"/>
    <n v="4"/>
    <x v="9"/>
    <n v="0"/>
    <s v="20/09/2026"/>
    <s v="No Error"/>
    <s v="Medium"/>
  </r>
  <r>
    <s v="O021"/>
    <s v="20/09/2026"/>
    <x v="1"/>
    <x v="2"/>
    <x v="1"/>
    <s v="Shirt"/>
    <n v="9"/>
    <x v="14"/>
    <n v="1"/>
    <s v="20/09/2026"/>
    <s v="No Error"/>
    <s v="Low"/>
  </r>
  <r>
    <s v="O022"/>
    <s v="20/09/2026"/>
    <x v="0"/>
    <x v="0"/>
    <x v="2"/>
    <s v="Chair"/>
    <n v="5"/>
    <x v="6"/>
    <n v="0"/>
    <s v="20/09/2026"/>
    <s v="No Error"/>
    <s v="Medium"/>
  </r>
  <r>
    <s v="O023"/>
    <s v="20/09/2026"/>
    <x v="2"/>
    <x v="1"/>
    <x v="1"/>
    <s v="Shirt"/>
    <n v="6"/>
    <x v="10"/>
    <n v="0"/>
    <s v="20/09/2026"/>
    <s v="No Error"/>
    <s v="Low"/>
  </r>
  <r>
    <s v="O024"/>
    <s v="20/09/2026"/>
    <x v="3"/>
    <x v="2"/>
    <x v="0"/>
    <s v="Monitor"/>
    <n v="2"/>
    <x v="3"/>
    <n v="2"/>
    <s v="20/09/2026"/>
    <s v="Error"/>
    <s v="Medium"/>
  </r>
  <r>
    <s v="O025"/>
    <s v="20/09/2026"/>
    <x v="4"/>
    <x v="0"/>
    <x v="0"/>
    <s v="Laptop"/>
    <n v="2"/>
    <x v="0"/>
    <n v="0"/>
    <s v="20/09/2026"/>
    <s v="No Error"/>
    <s v="High"/>
  </r>
  <r>
    <s v="O026"/>
    <s v="20/09/2026"/>
    <x v="1"/>
    <x v="1"/>
    <x v="2"/>
    <s v="Chair"/>
    <n v="3"/>
    <x v="2"/>
    <n v="0"/>
    <s v="20/09/2026"/>
    <s v="No Error"/>
    <s v="Low"/>
  </r>
  <r>
    <s v="O027"/>
    <s v="20/09/2026"/>
    <x v="0"/>
    <x v="2"/>
    <x v="0"/>
    <s v="Laptop"/>
    <n v="1"/>
    <x v="5"/>
    <n v="0"/>
    <s v="20/09/2026"/>
    <s v="No Error"/>
    <s v="High"/>
  </r>
  <r>
    <s v="O028"/>
    <s v="20/09/2026"/>
    <x v="2"/>
    <x v="0"/>
    <x v="2"/>
    <s v="Chair"/>
    <n v="7"/>
    <x v="15"/>
    <n v="1"/>
    <s v="20/09/2026"/>
    <s v="No Error"/>
    <s v="Medium"/>
  </r>
  <r>
    <s v="O029"/>
    <s v="20/09/2026"/>
    <x v="3"/>
    <x v="1"/>
    <x v="0"/>
    <s v="Monitor"/>
    <n v="3"/>
    <x v="8"/>
    <n v="0"/>
    <s v="20/09/2026"/>
    <s v="No Error"/>
    <s v="High"/>
  </r>
  <r>
    <s v="O030"/>
    <s v="20/09/2026"/>
    <x v="4"/>
    <x v="2"/>
    <x v="1"/>
    <s v="Shirt"/>
    <n v="8"/>
    <x v="7"/>
    <n v="0"/>
    <s v="20/09/2026"/>
    <s v="No Error"/>
    <s v="Lo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AE3571-5362-4E2E-A054-4331C041B226}" name="PivotTable6"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9:I14" firstHeaderRow="1" firstDataRow="2" firstDataCol="1"/>
  <pivotFields count="12">
    <pivotField showAll="0"/>
    <pivotField showAll="0"/>
    <pivotField showAll="0"/>
    <pivotField axis="axisRow" showAll="0">
      <items count="4">
        <item x="1"/>
        <item x="0"/>
        <item x="2"/>
        <item t="default"/>
      </items>
    </pivotField>
    <pivotField axis="axisCol" showAll="0">
      <items count="4">
        <item x="1"/>
        <item x="0"/>
        <item x="2"/>
        <item t="default"/>
      </items>
    </pivotField>
    <pivotField showAll="0"/>
    <pivotField numFmtId="1" showAll="0"/>
    <pivotField dataField="1" numFmtId="1" showAll="0">
      <items count="17">
        <item x="4"/>
        <item x="1"/>
        <item x="10"/>
        <item x="11"/>
        <item x="7"/>
        <item x="14"/>
        <item x="2"/>
        <item x="9"/>
        <item x="6"/>
        <item x="13"/>
        <item x="15"/>
        <item x="3"/>
        <item x="8"/>
        <item x="5"/>
        <item x="12"/>
        <item x="0"/>
        <item t="default"/>
      </items>
    </pivotField>
    <pivotField numFmtId="1" showAll="0"/>
    <pivotField showAll="0"/>
    <pivotField showAll="0"/>
    <pivotField showAll="0"/>
  </pivotFields>
  <rowFields count="1">
    <field x="3"/>
  </rowFields>
  <rowItems count="4">
    <i>
      <x/>
    </i>
    <i>
      <x v="1"/>
    </i>
    <i>
      <x v="2"/>
    </i>
    <i t="grand">
      <x/>
    </i>
  </rowItems>
  <colFields count="1">
    <field x="4"/>
  </colFields>
  <colItems count="4">
    <i>
      <x/>
    </i>
    <i>
      <x v="1"/>
    </i>
    <i>
      <x v="2"/>
    </i>
    <i t="grand">
      <x/>
    </i>
  </colItems>
  <dataFields count="1">
    <dataField name="Sum of Sales" fld="7" baseField="0" baseItem="0" numFmtId="1"/>
  </dataFields>
  <formats count="10">
    <format dxfId="153">
      <pivotArea type="all" dataOnly="0" outline="0" fieldPosition="0"/>
    </format>
    <format dxfId="152">
      <pivotArea outline="0" collapsedLevelsAreSubtotals="1" fieldPosition="0"/>
    </format>
    <format dxfId="151">
      <pivotArea type="origin" dataOnly="0" labelOnly="1" outline="0" fieldPosition="0"/>
    </format>
    <format dxfId="150">
      <pivotArea field="4" type="button" dataOnly="0" labelOnly="1" outline="0" axis="axisCol" fieldPosition="0"/>
    </format>
    <format dxfId="149">
      <pivotArea type="topRight" dataOnly="0" labelOnly="1" outline="0" fieldPosition="0"/>
    </format>
    <format dxfId="148">
      <pivotArea field="3" type="button" dataOnly="0" labelOnly="1" outline="0" axis="axisRow" fieldPosition="0"/>
    </format>
    <format dxfId="147">
      <pivotArea dataOnly="0" labelOnly="1" fieldPosition="0">
        <references count="1">
          <reference field="3" count="0"/>
        </references>
      </pivotArea>
    </format>
    <format dxfId="146">
      <pivotArea dataOnly="0" labelOnly="1" grandRow="1" outline="0" fieldPosition="0"/>
    </format>
    <format dxfId="145">
      <pivotArea dataOnly="0" labelOnly="1" fieldPosition="0">
        <references count="1">
          <reference field="4" count="0"/>
        </references>
      </pivotArea>
    </format>
    <format dxfId="144">
      <pivotArea dataOnly="0" labelOnly="1" grandCol="1" outline="0" fieldPosition="0"/>
    </format>
  </formats>
  <conditionalFormats count="1">
    <conditionalFormat priority="1">
      <pivotAreas count="1">
        <pivotArea type="data" collapsedLevelsAreSubtotals="1" fieldPosition="0">
          <references count="2">
            <reference field="4294967294" count="1" selected="0">
              <x v="0"/>
            </reference>
            <reference field="3" count="3">
              <x v="0"/>
              <x v="1"/>
              <x v="2"/>
            </reference>
          </references>
        </pivotArea>
      </pivotAreas>
    </conditionalFormat>
  </conditional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959224-5CAF-44A3-B07D-C880AA19C903}"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C15" firstHeaderRow="0" firstDataRow="1" firstDataCol="1"/>
  <pivotFields count="12">
    <pivotField dataField="1" showAll="0"/>
    <pivotField showAll="0"/>
    <pivotField axis="axisRow" showAll="0">
      <items count="6">
        <item x="2"/>
        <item x="3"/>
        <item x="1"/>
        <item x="0"/>
        <item x="4"/>
        <item t="default"/>
      </items>
    </pivotField>
    <pivotField showAll="0"/>
    <pivotField showAll="0"/>
    <pivotField showAll="0"/>
    <pivotField numFmtId="1" showAll="0"/>
    <pivotField dataField="1" numFmtId="1" showAll="0"/>
    <pivotField numFmtId="1" showAll="0"/>
    <pivotField showAll="0"/>
    <pivotField showAll="0"/>
    <pivotField showAll="0"/>
  </pivotFields>
  <rowFields count="1">
    <field x="2"/>
  </rowFields>
  <rowItems count="6">
    <i>
      <x/>
    </i>
    <i>
      <x v="1"/>
    </i>
    <i>
      <x v="2"/>
    </i>
    <i>
      <x v="3"/>
    </i>
    <i>
      <x v="4"/>
    </i>
    <i t="grand">
      <x/>
    </i>
  </rowItems>
  <colFields count="1">
    <field x="-2"/>
  </colFields>
  <colItems count="2">
    <i>
      <x/>
    </i>
    <i i="1">
      <x v="1"/>
    </i>
  </colItems>
  <dataFields count="2">
    <dataField name="Sum of Sales" fld="7" baseField="0" baseItem="0" numFmtId="1"/>
    <dataField name="Count of Order_ID" fld="0" subtotal="count" baseField="0" baseItem="0"/>
  </dataFields>
  <formats count="7">
    <format dxfId="166">
      <pivotArea dataOnly="0" labelOnly="1" outline="0" fieldPosition="0">
        <references count="1">
          <reference field="4294967294" count="2">
            <x v="0"/>
            <x v="1"/>
          </reference>
        </references>
      </pivotArea>
    </format>
    <format dxfId="159">
      <pivotArea type="all" dataOnly="0" outline="0" fieldPosition="0"/>
    </format>
    <format dxfId="158">
      <pivotArea outline="0" collapsedLevelsAreSubtotals="1" fieldPosition="0"/>
    </format>
    <format dxfId="157">
      <pivotArea field="2" type="button" dataOnly="0" labelOnly="1" outline="0" axis="axisRow" fieldPosition="0"/>
    </format>
    <format dxfId="156">
      <pivotArea dataOnly="0" labelOnly="1" fieldPosition="0">
        <references count="1">
          <reference field="2" count="0"/>
        </references>
      </pivotArea>
    </format>
    <format dxfId="155">
      <pivotArea dataOnly="0" labelOnly="1" grandRow="1" outline="0" fieldPosition="0"/>
    </format>
    <format dxfId="154">
      <pivotArea dataOnly="0" labelOnly="1" outline="0" fieldPosition="0">
        <references count="1">
          <reference field="4294967294" count="2">
            <x v="0"/>
            <x v="1"/>
          </reference>
        </references>
      </pivotArea>
    </format>
  </formats>
  <conditionalFormats count="1">
    <conditionalFormat priority="2">
      <pivotAreas count="1">
        <pivotArea type="data" collapsedLevelsAreSubtotals="1" fieldPosition="0">
          <references count="2">
            <reference field="4294967294" count="1" selected="0">
              <x v="1"/>
            </reference>
            <reference field="2" count="5">
              <x v="0"/>
              <x v="1"/>
              <x v="2"/>
              <x v="3"/>
              <x v="4"/>
            </reference>
          </references>
        </pivotArea>
      </pivotAreas>
    </conditionalFormat>
  </conditional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64A651-9061-4215-ACBD-6B104AAB2DFB}"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G6" firstHeaderRow="0" firstDataRow="1" firstDataCol="1"/>
  <pivotFields count="12">
    <pivotField showAll="0"/>
    <pivotField showAll="0"/>
    <pivotField showAll="0"/>
    <pivotField showAll="0"/>
    <pivotField axis="axisRow" showAll="0">
      <items count="4">
        <item x="1"/>
        <item x="0"/>
        <item x="2"/>
        <item t="default"/>
      </items>
    </pivotField>
    <pivotField showAll="0"/>
    <pivotField dataField="1" numFmtId="1" showAll="0"/>
    <pivotField dataField="1" numFmtId="1" showAll="0"/>
    <pivotField numFmtId="1" showAll="0"/>
    <pivotField showAll="0"/>
    <pivotField showAll="0"/>
    <pivotField showAll="0"/>
  </pivotFields>
  <rowFields count="1">
    <field x="4"/>
  </rowFields>
  <rowItems count="4">
    <i>
      <x/>
    </i>
    <i>
      <x v="1"/>
    </i>
    <i>
      <x v="2"/>
    </i>
    <i t="grand">
      <x/>
    </i>
  </rowItems>
  <colFields count="1">
    <field x="-2"/>
  </colFields>
  <colItems count="2">
    <i>
      <x/>
    </i>
    <i i="1">
      <x v="1"/>
    </i>
  </colItems>
  <dataFields count="2">
    <dataField name="Sum of Sales" fld="7" baseField="0" baseItem="0" numFmtId="1"/>
    <dataField name="Sum of Quantity" fld="6" baseField="0" baseItem="0" numFmtId="1"/>
  </dataFields>
  <formats count="7">
    <format dxfId="167">
      <pivotArea dataOnly="0" labelOnly="1" outline="0" fieldPosition="0">
        <references count="1">
          <reference field="4294967294" count="2">
            <x v="0"/>
            <x v="1"/>
          </reference>
        </references>
      </pivotArea>
    </format>
    <format dxfId="165">
      <pivotArea type="all" dataOnly="0" outline="0" fieldPosition="0"/>
    </format>
    <format dxfId="164">
      <pivotArea outline="0" collapsedLevelsAreSubtotals="1" fieldPosition="0"/>
    </format>
    <format dxfId="163">
      <pivotArea field="4" type="button" dataOnly="0" labelOnly="1" outline="0" axis="axisRow" fieldPosition="0"/>
    </format>
    <format dxfId="162">
      <pivotArea dataOnly="0" labelOnly="1" fieldPosition="0">
        <references count="1">
          <reference field="4" count="0"/>
        </references>
      </pivotArea>
    </format>
    <format dxfId="161">
      <pivotArea dataOnly="0" labelOnly="1" grandRow="1" outline="0" fieldPosition="0"/>
    </format>
    <format dxfId="160">
      <pivotArea dataOnly="0" labelOnly="1" outline="0" fieldPosition="0">
        <references count="1">
          <reference field="4294967294" count="2">
            <x v="0"/>
            <x v="1"/>
          </reference>
        </references>
      </pivotArea>
    </format>
  </formats>
  <conditionalFormats count="1">
    <conditionalFormat priority="3">
      <pivotAreas count="1">
        <pivotArea type="data" collapsedLevelsAreSubtotals="1" fieldPosition="0">
          <references count="2">
            <reference field="4294967294" count="1" selected="0">
              <x v="1"/>
            </reference>
            <reference field="4" count="3">
              <x v="0"/>
              <x v="1"/>
              <x v="2"/>
            </reference>
          </references>
        </pivotArea>
      </pivotAreas>
    </conditionalFormat>
  </conditional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030559-A975-41DF-B1DA-248403BE8007}"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C6" firstHeaderRow="0" firstDataRow="1" firstDataCol="1"/>
  <pivotFields count="12">
    <pivotField showAll="0"/>
    <pivotField showAll="0"/>
    <pivotField showAll="0"/>
    <pivotField axis="axisRow" showAll="0">
      <items count="4">
        <item x="1"/>
        <item x="0"/>
        <item x="2"/>
        <item t="default"/>
      </items>
    </pivotField>
    <pivotField showAll="0"/>
    <pivotField showAll="0"/>
    <pivotField dataField="1" numFmtId="1" showAll="0"/>
    <pivotField dataField="1" numFmtId="1" showAll="0"/>
    <pivotField numFmtId="1" showAll="0"/>
    <pivotField showAll="0"/>
    <pivotField showAll="0"/>
    <pivotField showAll="0"/>
  </pivotFields>
  <rowFields count="1">
    <field x="3"/>
  </rowFields>
  <rowItems count="4">
    <i>
      <x/>
    </i>
    <i>
      <x v="1"/>
    </i>
    <i>
      <x v="2"/>
    </i>
    <i t="grand">
      <x/>
    </i>
  </rowItems>
  <colFields count="1">
    <field x="-2"/>
  </colFields>
  <colItems count="2">
    <i>
      <x/>
    </i>
    <i i="1">
      <x v="1"/>
    </i>
  </colItems>
  <dataFields count="2">
    <dataField name="Sum of Sales" fld="7" baseField="0" baseItem="0" numFmtId="1"/>
    <dataField name="Sum of Quantity" fld="6" baseField="0" baseItem="0" numFmtId="1"/>
  </dataFields>
  <formats count="7">
    <format dxfId="137">
      <pivotArea dataOnly="0" labelOnly="1" outline="0" fieldPosition="0">
        <references count="1">
          <reference field="4294967294" count="2">
            <x v="0"/>
            <x v="1"/>
          </reference>
        </references>
      </pivotArea>
    </format>
    <format dxfId="138">
      <pivotArea type="all" dataOnly="0" outline="0" fieldPosition="0"/>
    </format>
    <format dxfId="139">
      <pivotArea outline="0" collapsedLevelsAreSubtotals="1" fieldPosition="0"/>
    </format>
    <format dxfId="140">
      <pivotArea field="3" type="button" dataOnly="0" labelOnly="1" outline="0" axis="axisRow" fieldPosition="0"/>
    </format>
    <format dxfId="141">
      <pivotArea dataOnly="0" labelOnly="1" fieldPosition="0">
        <references count="1">
          <reference field="3" count="0"/>
        </references>
      </pivotArea>
    </format>
    <format dxfId="142">
      <pivotArea dataOnly="0" labelOnly="1" grandRow="1" outline="0" fieldPosition="0"/>
    </format>
    <format dxfId="143">
      <pivotArea dataOnly="0" labelOnly="1" outline="0" fieldPosition="0">
        <references count="1">
          <reference field="4294967294" count="2">
            <x v="0"/>
            <x v="1"/>
          </reference>
        </references>
      </pivotArea>
    </format>
  </formats>
  <conditionalFormats count="1">
    <conditionalFormat priority="4">
      <pivotAreas count="1">
        <pivotArea outline="0" fieldPosition="0">
          <references count="1">
            <reference field="4294967294" count="1">
              <x v="1"/>
            </reference>
          </references>
        </pivotArea>
      </pivotAreas>
    </conditionalFormat>
  </conditional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E3E36ED-A304-419E-A143-C5639A1D9A4B}" name="PivotTable1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3:F28" firstHeaderRow="1" firstDataRow="2" firstDataCol="1"/>
  <pivotFields count="12">
    <pivotField showAll="0"/>
    <pivotField showAll="0"/>
    <pivotField showAll="0"/>
    <pivotField axis="axisRow" showAll="0">
      <items count="4">
        <item x="1"/>
        <item x="0"/>
        <item x="2"/>
        <item t="default"/>
      </items>
    </pivotField>
    <pivotField axis="axisCol" showAll="0">
      <items count="4">
        <item x="1"/>
        <item x="0"/>
        <item x="2"/>
        <item t="default"/>
      </items>
    </pivotField>
    <pivotField showAll="0"/>
    <pivotField numFmtId="1" showAll="0"/>
    <pivotField dataField="1" numFmtId="1" showAll="0">
      <items count="17">
        <item x="4"/>
        <item x="1"/>
        <item x="10"/>
        <item x="11"/>
        <item x="7"/>
        <item x="14"/>
        <item x="2"/>
        <item x="9"/>
        <item x="6"/>
        <item x="13"/>
        <item x="15"/>
        <item x="3"/>
        <item x="8"/>
        <item x="5"/>
        <item x="12"/>
        <item x="0"/>
        <item t="default"/>
      </items>
    </pivotField>
    <pivotField numFmtId="1" showAll="0"/>
    <pivotField showAll="0"/>
    <pivotField showAll="0"/>
    <pivotField showAll="0"/>
  </pivotFields>
  <rowFields count="1">
    <field x="3"/>
  </rowFields>
  <rowItems count="4">
    <i>
      <x/>
    </i>
    <i>
      <x v="1"/>
    </i>
    <i>
      <x v="2"/>
    </i>
    <i t="grand">
      <x/>
    </i>
  </rowItems>
  <colFields count="1">
    <field x="4"/>
  </colFields>
  <colItems count="4">
    <i>
      <x/>
    </i>
    <i>
      <x v="1"/>
    </i>
    <i>
      <x v="2"/>
    </i>
    <i t="grand">
      <x/>
    </i>
  </colItems>
  <dataFields count="1">
    <dataField name="Sum of Sales" fld="7" baseField="0" baseItem="0" numFmtId="1"/>
  </dataFields>
  <formats count="10">
    <format dxfId="120">
      <pivotArea type="all" dataOnly="0" outline="0" fieldPosition="0"/>
    </format>
    <format dxfId="121">
      <pivotArea outline="0" collapsedLevelsAreSubtotals="1" fieldPosition="0"/>
    </format>
    <format dxfId="122">
      <pivotArea type="origin" dataOnly="0" labelOnly="1" outline="0" fieldPosition="0"/>
    </format>
    <format dxfId="123">
      <pivotArea field="4" type="button" dataOnly="0" labelOnly="1" outline="0" axis="axisCol" fieldPosition="0"/>
    </format>
    <format dxfId="124">
      <pivotArea type="topRight" dataOnly="0" labelOnly="1" outline="0" fieldPosition="0"/>
    </format>
    <format dxfId="125">
      <pivotArea field="3" type="button" dataOnly="0" labelOnly="1" outline="0" axis="axisRow" fieldPosition="0"/>
    </format>
    <format dxfId="126">
      <pivotArea dataOnly="0" labelOnly="1" fieldPosition="0">
        <references count="1">
          <reference field="3" count="0"/>
        </references>
      </pivotArea>
    </format>
    <format dxfId="127">
      <pivotArea dataOnly="0" labelOnly="1" grandRow="1" outline="0" fieldPosition="0"/>
    </format>
    <format dxfId="128">
      <pivotArea dataOnly="0" labelOnly="1" fieldPosition="0">
        <references count="1">
          <reference field="4" count="0"/>
        </references>
      </pivotArea>
    </format>
    <format dxfId="129">
      <pivotArea dataOnly="0" labelOnly="1" grandCol="1" outline="0" fieldPosition="0"/>
    </format>
  </formats>
  <conditionalFormats count="1">
    <conditionalFormat priority="1">
      <pivotAreas count="1">
        <pivotArea type="data" collapsedLevelsAreSubtotals="1" fieldPosition="0">
          <references count="2">
            <reference field="4294967294" count="1" selected="0">
              <x v="0"/>
            </reference>
            <reference field="3" count="3">
              <x v="0"/>
              <x v="1"/>
              <x v="2"/>
            </reference>
          </references>
        </pivotArea>
      </pivotAreas>
    </conditionalFormat>
  </conditional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C8FA421-CED7-4920-A43A-75EF7D745F68}" name="PivotTable10"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4:E20" firstHeaderRow="0" firstDataRow="1" firstDataCol="1"/>
  <pivotFields count="12">
    <pivotField dataField="1" showAll="0"/>
    <pivotField showAll="0"/>
    <pivotField axis="axisRow" showAll="0">
      <items count="6">
        <item x="2"/>
        <item x="3"/>
        <item x="1"/>
        <item x="0"/>
        <item x="4"/>
        <item t="default"/>
      </items>
    </pivotField>
    <pivotField showAll="0"/>
    <pivotField showAll="0"/>
    <pivotField showAll="0"/>
    <pivotField numFmtId="1" showAll="0"/>
    <pivotField dataField="1" numFmtId="1" showAll="0"/>
    <pivotField numFmtId="1" showAll="0"/>
    <pivotField showAll="0"/>
    <pivotField showAll="0"/>
    <pivotField showAll="0"/>
  </pivotFields>
  <rowFields count="1">
    <field x="2"/>
  </rowFields>
  <rowItems count="6">
    <i>
      <x/>
    </i>
    <i>
      <x v="1"/>
    </i>
    <i>
      <x v="2"/>
    </i>
    <i>
      <x v="3"/>
    </i>
    <i>
      <x v="4"/>
    </i>
    <i t="grand">
      <x/>
    </i>
  </rowItems>
  <colFields count="1">
    <field x="-2"/>
  </colFields>
  <colItems count="2">
    <i>
      <x/>
    </i>
    <i i="1">
      <x v="1"/>
    </i>
  </colItems>
  <dataFields count="2">
    <dataField name="Sum of Sales" fld="7" baseField="0" baseItem="0" numFmtId="1"/>
    <dataField name="Count of Order_ID" fld="0" subtotal="count" baseField="0" baseItem="0"/>
  </dataFields>
  <formats count="7">
    <format dxfId="130">
      <pivotArea dataOnly="0" labelOnly="1" outline="0" fieldPosition="0">
        <references count="1">
          <reference field="4294967294" count="2">
            <x v="0"/>
            <x v="1"/>
          </reference>
        </references>
      </pivotArea>
    </format>
    <format dxfId="131">
      <pivotArea type="all" dataOnly="0" outline="0" fieldPosition="0"/>
    </format>
    <format dxfId="132">
      <pivotArea outline="0" collapsedLevelsAreSubtotals="1" fieldPosition="0"/>
    </format>
    <format dxfId="133">
      <pivotArea field="2" type="button" dataOnly="0" labelOnly="1" outline="0" axis="axisRow" fieldPosition="0"/>
    </format>
    <format dxfId="134">
      <pivotArea dataOnly="0" labelOnly="1" fieldPosition="0">
        <references count="1">
          <reference field="2" count="0"/>
        </references>
      </pivotArea>
    </format>
    <format dxfId="135">
      <pivotArea dataOnly="0" labelOnly="1" grandRow="1" outline="0" fieldPosition="0"/>
    </format>
    <format dxfId="136">
      <pivotArea dataOnly="0" labelOnly="1" outline="0" fieldPosition="0">
        <references count="1">
          <reference field="4294967294" count="2">
            <x v="0"/>
            <x v="1"/>
          </reference>
        </references>
      </pivotArea>
    </format>
  </formats>
  <conditionalFormats count="1">
    <conditionalFormat priority="2">
      <pivotAreas count="1">
        <pivotArea type="data" collapsedLevelsAreSubtotals="1" fieldPosition="0">
          <references count="2">
            <reference field="4294967294" count="1" selected="0">
              <x v="1"/>
            </reference>
            <reference field="2" count="5">
              <x v="0"/>
              <x v="1"/>
              <x v="2"/>
              <x v="3"/>
              <x v="4"/>
            </reference>
          </references>
        </pivotArea>
      </pivotAreas>
    </conditionalFormat>
  </conditional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85BD865-CED2-4870-93CA-E95E53E40726}" sourceName="City">
  <pivotTables>
    <pivotTable tabId="3" name="PivotTable6"/>
    <pivotTable tabId="4" name="PivotTable11"/>
  </pivotTables>
  <data>
    <tabular pivotCacheId="1934228472">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3BE78B7-DFE7-4555-9838-E3695EAFB5DC}" sourceName="Category">
  <pivotTables>
    <pivotTable tabId="3" name="PivotTable6"/>
    <pivotTable tabId="4" name="PivotTable11"/>
  </pivotTables>
  <data>
    <tabular pivotCacheId="1934228472">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006E81C5-1D80-49F7-A648-B9BE8F5724AA}" cache="Slicer_City" caption="City" style="SlicerStyleLight6" rowHeight="241300"/>
  <slicer name="Category" xr10:uid="{20FBA7D7-E2A7-420D-B555-033DBA81667D}" cache="Slicer_Category" caption="Category" style="SlicerStyleLight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A4012D6F-3D36-462F-9DDA-B1517B7E25D6}" cache="Slicer_City" caption="City" style="SlicerStyleLight6" rowHeight="241300"/>
  <slicer name="Category 1" xr10:uid="{2D073CEC-7EA4-4609-B5A7-23DA091BD526}" cache="Slicer_Category" caption="Category" style="SlicerStyleLight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1"/>
  <sheetViews>
    <sheetView workbookViewId="0">
      <selection activeCell="D6" sqref="A1:I31"/>
    </sheetView>
  </sheetViews>
  <sheetFormatPr defaultRowHeight="15" x14ac:dyDescent="0.25"/>
  <cols>
    <col min="2" max="2" width="10.7109375" bestFit="1" customWidth="1"/>
    <col min="3" max="3" width="11.7109375" bestFit="1" customWidth="1"/>
    <col min="8" max="8" width="9.5703125" bestFit="1" customWidth="1"/>
  </cols>
  <sheetData>
    <row r="1" spans="1:12" x14ac:dyDescent="0.25">
      <c r="A1" s="1" t="s">
        <v>0</v>
      </c>
      <c r="B1" s="1" t="s">
        <v>1</v>
      </c>
      <c r="C1" s="1" t="s">
        <v>2</v>
      </c>
      <c r="D1" s="1" t="s">
        <v>3</v>
      </c>
      <c r="E1" s="1" t="s">
        <v>4</v>
      </c>
      <c r="F1" s="1" t="s">
        <v>5</v>
      </c>
      <c r="G1" s="2" t="s">
        <v>6</v>
      </c>
      <c r="H1" s="2" t="s">
        <v>7</v>
      </c>
      <c r="I1" s="2" t="s">
        <v>8</v>
      </c>
      <c r="K1" s="2" t="s">
        <v>62</v>
      </c>
      <c r="L1" s="2" t="s">
        <v>63</v>
      </c>
    </row>
    <row r="2" spans="1:12" x14ac:dyDescent="0.25">
      <c r="A2" s="3" t="s">
        <v>9</v>
      </c>
      <c r="B2" s="6">
        <v>46031</v>
      </c>
      <c r="C2" s="3" t="s">
        <v>10</v>
      </c>
      <c r="D2" s="3" t="s">
        <v>11</v>
      </c>
      <c r="E2" s="3" t="s">
        <v>12</v>
      </c>
      <c r="F2" s="3" t="s">
        <v>13</v>
      </c>
      <c r="G2" s="5">
        <v>2</v>
      </c>
      <c r="H2" s="5">
        <v>110000</v>
      </c>
      <c r="I2" s="4">
        <v>0</v>
      </c>
      <c r="K2" t="str" cm="1">
        <f t="array" ref="K2:K6">_xlfn.UNIQUE(C2:C31)</f>
        <v>Rahul</v>
      </c>
      <c r="L2" t="str">
        <f>IF(COUNTIF(C2:C31,C2)&gt;1,"Duplicate","Unique")</f>
        <v>Duplicate</v>
      </c>
    </row>
    <row r="3" spans="1:12" x14ac:dyDescent="0.25">
      <c r="A3" s="3" t="s">
        <v>14</v>
      </c>
      <c r="B3" s="6">
        <v>46062</v>
      </c>
      <c r="C3" s="3" t="s">
        <v>15</v>
      </c>
      <c r="D3" s="3" t="s">
        <v>16</v>
      </c>
      <c r="E3" s="3" t="s">
        <v>17</v>
      </c>
      <c r="F3" s="3" t="s">
        <v>18</v>
      </c>
      <c r="G3" s="5">
        <v>5</v>
      </c>
      <c r="H3" s="5">
        <v>6000</v>
      </c>
      <c r="I3" s="4">
        <v>1</v>
      </c>
      <c r="K3" t="str">
        <v>Priya</v>
      </c>
      <c r="L3" t="str">
        <f t="shared" ref="L3:L31" si="0">IF(COUNTIF(C3:C32,C3)&gt;1,"Duplicate","Unique")</f>
        <v>Duplicate</v>
      </c>
    </row>
    <row r="4" spans="1:12" x14ac:dyDescent="0.25">
      <c r="A4" s="3" t="s">
        <v>19</v>
      </c>
      <c r="B4" s="6">
        <v>46090</v>
      </c>
      <c r="C4" s="3" t="s">
        <v>20</v>
      </c>
      <c r="D4" s="3" t="s">
        <v>21</v>
      </c>
      <c r="E4" s="3" t="s">
        <v>22</v>
      </c>
      <c r="F4" s="3" t="s">
        <v>23</v>
      </c>
      <c r="G4" s="5">
        <v>3</v>
      </c>
      <c r="H4" s="5">
        <v>15000</v>
      </c>
      <c r="I4" s="4">
        <v>0</v>
      </c>
      <c r="K4" t="str">
        <v>Arman</v>
      </c>
      <c r="L4" t="str">
        <f t="shared" si="0"/>
        <v>Duplicate</v>
      </c>
    </row>
    <row r="5" spans="1:12" x14ac:dyDescent="0.25">
      <c r="A5" s="3" t="s">
        <v>24</v>
      </c>
      <c r="B5" s="6">
        <v>46121</v>
      </c>
      <c r="C5" s="3" t="s">
        <v>10</v>
      </c>
      <c r="D5" s="3" t="s">
        <v>11</v>
      </c>
      <c r="E5" s="3" t="s">
        <v>12</v>
      </c>
      <c r="F5" s="3" t="s">
        <v>25</v>
      </c>
      <c r="G5" s="5">
        <v>2</v>
      </c>
      <c r="H5" s="5">
        <v>36000</v>
      </c>
      <c r="I5" s="4">
        <v>1</v>
      </c>
      <c r="K5" t="str">
        <v>Hamza</v>
      </c>
      <c r="L5" t="str">
        <f t="shared" si="0"/>
        <v>Duplicate</v>
      </c>
    </row>
    <row r="6" spans="1:12" x14ac:dyDescent="0.25">
      <c r="A6" s="3" t="s">
        <v>26</v>
      </c>
      <c r="B6" s="6">
        <v>46151</v>
      </c>
      <c r="C6" s="3" t="s">
        <v>27</v>
      </c>
      <c r="D6" s="3" t="s">
        <v>16</v>
      </c>
      <c r="E6" s="3" t="s">
        <v>17</v>
      </c>
      <c r="F6" s="3" t="s">
        <v>18</v>
      </c>
      <c r="G6" s="5">
        <v>4</v>
      </c>
      <c r="H6" s="5">
        <v>4800</v>
      </c>
      <c r="I6" s="4">
        <v>2</v>
      </c>
      <c r="K6" t="str">
        <v>Sara</v>
      </c>
      <c r="L6" t="str">
        <f t="shared" si="0"/>
        <v>Duplicate</v>
      </c>
    </row>
    <row r="7" spans="1:12" x14ac:dyDescent="0.25">
      <c r="A7" s="3" t="s">
        <v>28</v>
      </c>
      <c r="B7" s="6">
        <v>46182</v>
      </c>
      <c r="C7" s="3" t="s">
        <v>29</v>
      </c>
      <c r="D7" s="3" t="s">
        <v>21</v>
      </c>
      <c r="E7" s="3" t="s">
        <v>12</v>
      </c>
      <c r="F7" s="3" t="s">
        <v>13</v>
      </c>
      <c r="G7" s="5">
        <v>1</v>
      </c>
      <c r="H7" s="5">
        <v>55000</v>
      </c>
      <c r="I7" s="4">
        <v>0</v>
      </c>
      <c r="L7" t="str">
        <f t="shared" si="0"/>
        <v>Duplicate</v>
      </c>
    </row>
    <row r="8" spans="1:12" x14ac:dyDescent="0.25">
      <c r="A8" s="3" t="s">
        <v>30</v>
      </c>
      <c r="B8" s="6">
        <v>46212</v>
      </c>
      <c r="C8" s="3" t="s">
        <v>10</v>
      </c>
      <c r="D8" s="3" t="s">
        <v>16</v>
      </c>
      <c r="E8" s="3" t="s">
        <v>22</v>
      </c>
      <c r="F8" s="3" t="s">
        <v>23</v>
      </c>
      <c r="G8" s="5">
        <v>5</v>
      </c>
      <c r="H8" s="5">
        <v>25000</v>
      </c>
      <c r="I8" s="4">
        <v>0</v>
      </c>
      <c r="L8" t="str">
        <f t="shared" si="0"/>
        <v>Duplicate</v>
      </c>
    </row>
    <row r="9" spans="1:12" x14ac:dyDescent="0.25">
      <c r="A9" s="3" t="s">
        <v>31</v>
      </c>
      <c r="B9" s="6">
        <v>46243</v>
      </c>
      <c r="C9" s="3" t="s">
        <v>20</v>
      </c>
      <c r="D9" s="3" t="s">
        <v>11</v>
      </c>
      <c r="E9" s="3" t="s">
        <v>17</v>
      </c>
      <c r="F9" s="3" t="s">
        <v>18</v>
      </c>
      <c r="G9" s="5">
        <v>8</v>
      </c>
      <c r="H9" s="5">
        <v>9600</v>
      </c>
      <c r="I9" s="4">
        <v>1</v>
      </c>
      <c r="L9" t="str">
        <f t="shared" si="0"/>
        <v>Duplicate</v>
      </c>
    </row>
    <row r="10" spans="1:12" x14ac:dyDescent="0.25">
      <c r="A10" s="3" t="s">
        <v>32</v>
      </c>
      <c r="B10" s="6">
        <v>46274</v>
      </c>
      <c r="C10" s="3" t="s">
        <v>27</v>
      </c>
      <c r="D10" s="3" t="s">
        <v>21</v>
      </c>
      <c r="E10" s="3" t="s">
        <v>12</v>
      </c>
      <c r="F10" s="3" t="s">
        <v>25</v>
      </c>
      <c r="G10" s="5">
        <v>3</v>
      </c>
      <c r="H10" s="5">
        <v>54000</v>
      </c>
      <c r="I10" s="4">
        <v>0</v>
      </c>
      <c r="L10" t="str">
        <f t="shared" si="0"/>
        <v>Duplicate</v>
      </c>
    </row>
    <row r="11" spans="1:12" x14ac:dyDescent="0.25">
      <c r="A11" s="3" t="s">
        <v>33</v>
      </c>
      <c r="B11" s="6">
        <v>46304</v>
      </c>
      <c r="C11" s="3" t="s">
        <v>15</v>
      </c>
      <c r="D11" s="3" t="s">
        <v>11</v>
      </c>
      <c r="E11" s="3" t="s">
        <v>22</v>
      </c>
      <c r="F11" s="3" t="s">
        <v>23</v>
      </c>
      <c r="G11" s="5">
        <v>4</v>
      </c>
      <c r="H11" s="5">
        <v>20000</v>
      </c>
      <c r="I11" s="4">
        <v>0</v>
      </c>
      <c r="L11" t="str">
        <f t="shared" si="0"/>
        <v>Duplicate</v>
      </c>
    </row>
    <row r="12" spans="1:12" x14ac:dyDescent="0.25">
      <c r="A12" s="3" t="s">
        <v>34</v>
      </c>
      <c r="B12" s="6">
        <v>46335</v>
      </c>
      <c r="C12" s="3" t="s">
        <v>29</v>
      </c>
      <c r="D12" s="3" t="s">
        <v>16</v>
      </c>
      <c r="E12" s="3" t="s">
        <v>12</v>
      </c>
      <c r="F12" s="3" t="s">
        <v>13</v>
      </c>
      <c r="G12" s="5">
        <v>2</v>
      </c>
      <c r="H12" s="5">
        <v>110000</v>
      </c>
      <c r="I12" s="4">
        <v>0</v>
      </c>
      <c r="L12" t="str">
        <f t="shared" si="0"/>
        <v>Duplicate</v>
      </c>
    </row>
    <row r="13" spans="1:12" x14ac:dyDescent="0.25">
      <c r="A13" s="3" t="s">
        <v>35</v>
      </c>
      <c r="B13" s="6">
        <v>46365</v>
      </c>
      <c r="C13" s="3" t="s">
        <v>10</v>
      </c>
      <c r="D13" s="3" t="s">
        <v>21</v>
      </c>
      <c r="E13" s="3" t="s">
        <v>17</v>
      </c>
      <c r="F13" s="3" t="s">
        <v>18</v>
      </c>
      <c r="G13" s="5">
        <v>6</v>
      </c>
      <c r="H13" s="5">
        <v>7200</v>
      </c>
      <c r="I13" s="4">
        <v>1</v>
      </c>
      <c r="L13" t="str">
        <f t="shared" si="0"/>
        <v>Duplicate</v>
      </c>
    </row>
    <row r="14" spans="1:12" x14ac:dyDescent="0.25">
      <c r="A14" s="3" t="s">
        <v>36</v>
      </c>
      <c r="B14" s="6" t="s">
        <v>37</v>
      </c>
      <c r="C14" s="3" t="s">
        <v>20</v>
      </c>
      <c r="D14" s="3" t="s">
        <v>16</v>
      </c>
      <c r="E14" s="3" t="s">
        <v>12</v>
      </c>
      <c r="F14" s="3" t="s">
        <v>25</v>
      </c>
      <c r="G14" s="5">
        <v>2</v>
      </c>
      <c r="H14" s="5">
        <v>36000</v>
      </c>
      <c r="I14" s="4">
        <v>0</v>
      </c>
      <c r="L14" t="str">
        <f t="shared" si="0"/>
        <v>Duplicate</v>
      </c>
    </row>
    <row r="15" spans="1:12" x14ac:dyDescent="0.25">
      <c r="A15" s="3" t="s">
        <v>38</v>
      </c>
      <c r="B15" s="6" t="s">
        <v>39</v>
      </c>
      <c r="C15" s="3" t="s">
        <v>27</v>
      </c>
      <c r="D15" s="3" t="s">
        <v>11</v>
      </c>
      <c r="E15" s="3" t="s">
        <v>22</v>
      </c>
      <c r="F15" s="3" t="s">
        <v>23</v>
      </c>
      <c r="G15" s="5">
        <v>3</v>
      </c>
      <c r="H15" s="5">
        <v>15000</v>
      </c>
      <c r="I15" s="4">
        <v>2</v>
      </c>
      <c r="L15" t="str">
        <f t="shared" si="0"/>
        <v>Duplicate</v>
      </c>
    </row>
    <row r="16" spans="1:12" x14ac:dyDescent="0.25">
      <c r="A16" s="3" t="s">
        <v>40</v>
      </c>
      <c r="B16" s="6" t="s">
        <v>41</v>
      </c>
      <c r="C16" s="3" t="s">
        <v>15</v>
      </c>
      <c r="D16" s="3" t="s">
        <v>21</v>
      </c>
      <c r="E16" s="3" t="s">
        <v>12</v>
      </c>
      <c r="F16" s="3" t="s">
        <v>13</v>
      </c>
      <c r="G16" s="5">
        <v>1</v>
      </c>
      <c r="H16" s="5">
        <v>55000</v>
      </c>
      <c r="I16" s="4">
        <v>0</v>
      </c>
      <c r="L16" t="str">
        <f t="shared" si="0"/>
        <v>Duplicate</v>
      </c>
    </row>
    <row r="17" spans="1:12" x14ac:dyDescent="0.25">
      <c r="A17" s="3" t="s">
        <v>42</v>
      </c>
      <c r="B17" s="6" t="s">
        <v>43</v>
      </c>
      <c r="C17" s="3" t="s">
        <v>29</v>
      </c>
      <c r="D17" s="3" t="s">
        <v>11</v>
      </c>
      <c r="E17" s="3" t="s">
        <v>17</v>
      </c>
      <c r="F17" s="3" t="s">
        <v>18</v>
      </c>
      <c r="G17" s="5">
        <v>7</v>
      </c>
      <c r="H17" s="5">
        <v>8400</v>
      </c>
      <c r="I17" s="4">
        <v>0</v>
      </c>
      <c r="L17" t="str">
        <f t="shared" si="0"/>
        <v>Duplicate</v>
      </c>
    </row>
    <row r="18" spans="1:12" x14ac:dyDescent="0.25">
      <c r="A18" s="3" t="s">
        <v>44</v>
      </c>
      <c r="B18" s="6" t="s">
        <v>45</v>
      </c>
      <c r="C18" s="3" t="s">
        <v>10</v>
      </c>
      <c r="D18" s="3" t="s">
        <v>16</v>
      </c>
      <c r="E18" s="3" t="s">
        <v>12</v>
      </c>
      <c r="F18" s="3" t="s">
        <v>25</v>
      </c>
      <c r="G18" s="5">
        <v>4</v>
      </c>
      <c r="H18" s="5">
        <v>72000</v>
      </c>
      <c r="I18" s="4">
        <v>1</v>
      </c>
      <c r="L18" t="str">
        <f t="shared" si="0"/>
        <v>Duplicate</v>
      </c>
    </row>
    <row r="19" spans="1:12" x14ac:dyDescent="0.25">
      <c r="A19" s="3" t="s">
        <v>46</v>
      </c>
      <c r="B19" s="6" t="s">
        <v>47</v>
      </c>
      <c r="C19" s="3" t="s">
        <v>20</v>
      </c>
      <c r="D19" s="3" t="s">
        <v>21</v>
      </c>
      <c r="E19" s="3" t="s">
        <v>22</v>
      </c>
      <c r="F19" s="3" t="s">
        <v>23</v>
      </c>
      <c r="G19" s="5">
        <v>6</v>
      </c>
      <c r="H19" s="5">
        <v>30000</v>
      </c>
      <c r="I19" s="4">
        <v>0</v>
      </c>
      <c r="L19" t="str">
        <f t="shared" si="0"/>
        <v>Duplicate</v>
      </c>
    </row>
    <row r="20" spans="1:12" x14ac:dyDescent="0.25">
      <c r="A20" s="3" t="s">
        <v>48</v>
      </c>
      <c r="B20" s="6" t="s">
        <v>49</v>
      </c>
      <c r="C20" s="3" t="s">
        <v>27</v>
      </c>
      <c r="D20" s="3" t="s">
        <v>11</v>
      </c>
      <c r="E20" s="3" t="s">
        <v>12</v>
      </c>
      <c r="F20" s="3" t="s">
        <v>13</v>
      </c>
      <c r="G20" s="5">
        <v>1</v>
      </c>
      <c r="H20" s="5">
        <v>55000</v>
      </c>
      <c r="I20" s="4">
        <v>1</v>
      </c>
      <c r="L20" t="str">
        <f t="shared" si="0"/>
        <v>Duplicate</v>
      </c>
    </row>
    <row r="21" spans="1:12" x14ac:dyDescent="0.25">
      <c r="A21" s="3" t="s">
        <v>50</v>
      </c>
      <c r="B21" s="6" t="s">
        <v>51</v>
      </c>
      <c r="C21" s="3" t="s">
        <v>29</v>
      </c>
      <c r="D21" s="3" t="s">
        <v>16</v>
      </c>
      <c r="E21" s="3" t="s">
        <v>22</v>
      </c>
      <c r="F21" s="3" t="s">
        <v>23</v>
      </c>
      <c r="G21" s="5">
        <v>4</v>
      </c>
      <c r="H21" s="5">
        <v>20000</v>
      </c>
      <c r="I21" s="4">
        <v>0</v>
      </c>
      <c r="L21" t="str">
        <f t="shared" si="0"/>
        <v>Duplicate</v>
      </c>
    </row>
    <row r="22" spans="1:12" x14ac:dyDescent="0.25">
      <c r="A22" s="3" t="s">
        <v>52</v>
      </c>
      <c r="B22" s="6" t="s">
        <v>51</v>
      </c>
      <c r="C22" s="3" t="s">
        <v>15</v>
      </c>
      <c r="D22" s="3" t="s">
        <v>21</v>
      </c>
      <c r="E22" s="3" t="s">
        <v>17</v>
      </c>
      <c r="F22" s="3" t="s">
        <v>18</v>
      </c>
      <c r="G22" s="5">
        <v>9</v>
      </c>
      <c r="H22" s="5">
        <v>10800</v>
      </c>
      <c r="I22" s="4">
        <v>1</v>
      </c>
      <c r="L22" t="str">
        <f t="shared" si="0"/>
        <v>Duplicate</v>
      </c>
    </row>
    <row r="23" spans="1:12" x14ac:dyDescent="0.25">
      <c r="A23" s="3" t="s">
        <v>53</v>
      </c>
      <c r="B23" s="6" t="s">
        <v>51</v>
      </c>
      <c r="C23" s="3" t="s">
        <v>10</v>
      </c>
      <c r="D23" s="3" t="s">
        <v>11</v>
      </c>
      <c r="E23" s="3" t="s">
        <v>22</v>
      </c>
      <c r="F23" s="3" t="s">
        <v>23</v>
      </c>
      <c r="G23" s="5">
        <v>5</v>
      </c>
      <c r="H23" s="5">
        <v>25000</v>
      </c>
      <c r="I23" s="4">
        <v>0</v>
      </c>
      <c r="L23" t="str">
        <f t="shared" si="0"/>
        <v>Duplicate</v>
      </c>
    </row>
    <row r="24" spans="1:12" x14ac:dyDescent="0.25">
      <c r="A24" s="3" t="s">
        <v>54</v>
      </c>
      <c r="B24" s="6" t="s">
        <v>51</v>
      </c>
      <c r="C24" s="3" t="s">
        <v>20</v>
      </c>
      <c r="D24" s="3" t="s">
        <v>16</v>
      </c>
      <c r="E24" s="3" t="s">
        <v>17</v>
      </c>
      <c r="F24" s="3" t="s">
        <v>18</v>
      </c>
      <c r="G24" s="5">
        <v>6</v>
      </c>
      <c r="H24" s="5">
        <v>7200</v>
      </c>
      <c r="I24" s="4">
        <v>0</v>
      </c>
      <c r="L24" t="str">
        <f t="shared" si="0"/>
        <v>Duplicate</v>
      </c>
    </row>
    <row r="25" spans="1:12" x14ac:dyDescent="0.25">
      <c r="A25" s="3" t="s">
        <v>55</v>
      </c>
      <c r="B25" s="6" t="s">
        <v>51</v>
      </c>
      <c r="C25" s="3" t="s">
        <v>27</v>
      </c>
      <c r="D25" s="3" t="s">
        <v>21</v>
      </c>
      <c r="E25" s="3" t="s">
        <v>12</v>
      </c>
      <c r="F25" s="3" t="s">
        <v>25</v>
      </c>
      <c r="G25" s="5">
        <v>2</v>
      </c>
      <c r="H25" s="5">
        <v>36000</v>
      </c>
      <c r="I25" s="4">
        <v>2</v>
      </c>
      <c r="L25" t="str">
        <f t="shared" si="0"/>
        <v>Duplicate</v>
      </c>
    </row>
    <row r="26" spans="1:12" x14ac:dyDescent="0.25">
      <c r="A26" s="3" t="s">
        <v>56</v>
      </c>
      <c r="B26" s="6" t="s">
        <v>51</v>
      </c>
      <c r="C26" s="3" t="s">
        <v>29</v>
      </c>
      <c r="D26" s="3" t="s">
        <v>11</v>
      </c>
      <c r="E26" s="3" t="s">
        <v>12</v>
      </c>
      <c r="F26" s="3" t="s">
        <v>13</v>
      </c>
      <c r="G26" s="5">
        <v>2</v>
      </c>
      <c r="H26" s="5">
        <v>110000</v>
      </c>
      <c r="I26" s="4">
        <v>0</v>
      </c>
      <c r="L26" t="str">
        <f t="shared" si="0"/>
        <v>Duplicate</v>
      </c>
    </row>
    <row r="27" spans="1:12" x14ac:dyDescent="0.25">
      <c r="A27" s="3" t="s">
        <v>57</v>
      </c>
      <c r="B27" s="6" t="s">
        <v>51</v>
      </c>
      <c r="C27" s="3" t="s">
        <v>15</v>
      </c>
      <c r="D27" s="3" t="s">
        <v>16</v>
      </c>
      <c r="E27" s="3" t="s">
        <v>22</v>
      </c>
      <c r="F27" s="3" t="s">
        <v>23</v>
      </c>
      <c r="G27" s="5">
        <v>3</v>
      </c>
      <c r="H27" s="5">
        <v>15000</v>
      </c>
      <c r="I27" s="4">
        <v>0</v>
      </c>
      <c r="L27" t="str">
        <f t="shared" si="0"/>
        <v>Unique</v>
      </c>
    </row>
    <row r="28" spans="1:12" x14ac:dyDescent="0.25">
      <c r="A28" s="3" t="s">
        <v>58</v>
      </c>
      <c r="B28" s="6" t="s">
        <v>51</v>
      </c>
      <c r="C28" s="3" t="s">
        <v>10</v>
      </c>
      <c r="D28" s="3" t="s">
        <v>21</v>
      </c>
      <c r="E28" s="3" t="s">
        <v>12</v>
      </c>
      <c r="F28" s="3" t="s">
        <v>13</v>
      </c>
      <c r="G28" s="5">
        <v>1</v>
      </c>
      <c r="H28" s="5">
        <v>55000</v>
      </c>
      <c r="I28" s="4">
        <v>0</v>
      </c>
      <c r="L28" t="str">
        <f t="shared" si="0"/>
        <v>Unique</v>
      </c>
    </row>
    <row r="29" spans="1:12" x14ac:dyDescent="0.25">
      <c r="A29" s="3" t="s">
        <v>59</v>
      </c>
      <c r="B29" s="6" t="s">
        <v>51</v>
      </c>
      <c r="C29" s="3" t="s">
        <v>20</v>
      </c>
      <c r="D29" s="3" t="s">
        <v>11</v>
      </c>
      <c r="E29" s="3" t="s">
        <v>22</v>
      </c>
      <c r="F29" s="3" t="s">
        <v>23</v>
      </c>
      <c r="G29" s="5">
        <v>7</v>
      </c>
      <c r="H29" s="5">
        <v>35000</v>
      </c>
      <c r="I29" s="4">
        <v>1</v>
      </c>
      <c r="L29" t="str">
        <f t="shared" si="0"/>
        <v>Unique</v>
      </c>
    </row>
    <row r="30" spans="1:12" x14ac:dyDescent="0.25">
      <c r="A30" s="3" t="s">
        <v>60</v>
      </c>
      <c r="B30" s="6" t="s">
        <v>51</v>
      </c>
      <c r="C30" s="3" t="s">
        <v>27</v>
      </c>
      <c r="D30" s="3" t="s">
        <v>16</v>
      </c>
      <c r="E30" s="3" t="s">
        <v>12</v>
      </c>
      <c r="F30" s="3" t="s">
        <v>25</v>
      </c>
      <c r="G30" s="5">
        <v>3</v>
      </c>
      <c r="H30" s="5">
        <v>54000</v>
      </c>
      <c r="I30" s="4">
        <v>0</v>
      </c>
      <c r="L30" t="str">
        <f t="shared" si="0"/>
        <v>Unique</v>
      </c>
    </row>
    <row r="31" spans="1:12" x14ac:dyDescent="0.25">
      <c r="A31" s="3" t="s">
        <v>61</v>
      </c>
      <c r="B31" s="6" t="s">
        <v>51</v>
      </c>
      <c r="C31" s="3" t="s">
        <v>29</v>
      </c>
      <c r="D31" s="3" t="s">
        <v>21</v>
      </c>
      <c r="E31" s="3" t="s">
        <v>17</v>
      </c>
      <c r="F31" s="3" t="s">
        <v>18</v>
      </c>
      <c r="G31" s="5">
        <v>8</v>
      </c>
      <c r="H31" s="5">
        <v>9600</v>
      </c>
      <c r="I31" s="4">
        <v>0</v>
      </c>
      <c r="L31" t="str">
        <f t="shared" si="0"/>
        <v>Unique</v>
      </c>
    </row>
  </sheetData>
  <conditionalFormatting sqref="C2:C31">
    <cfRule type="uniqueValues" dxfId="5" priority="1"/>
    <cfRule type="uniqueValues" dxfId="4" priority="2"/>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E82E9-EFCF-4427-B6FB-BE6D517DF121}">
  <dimension ref="A1:O32"/>
  <sheetViews>
    <sheetView zoomScale="96" workbookViewId="0">
      <selection activeCell="N6" sqref="N6"/>
    </sheetView>
  </sheetViews>
  <sheetFormatPr defaultRowHeight="15" x14ac:dyDescent="0.25"/>
  <cols>
    <col min="1" max="1" width="13.5703125" bestFit="1" customWidth="1"/>
    <col min="2" max="2" width="12.140625" bestFit="1" customWidth="1"/>
    <col min="3" max="3" width="16.28515625" bestFit="1" customWidth="1"/>
    <col min="4" max="4" width="9" bestFit="1" customWidth="1"/>
    <col min="5" max="5" width="13.42578125" bestFit="1" customWidth="1"/>
    <col min="6" max="6" width="12.42578125" bestFit="1" customWidth="1"/>
    <col min="7" max="7" width="8.7109375" bestFit="1" customWidth="1"/>
    <col min="8" max="8" width="7" bestFit="1" customWidth="1"/>
    <col min="9" max="9" width="6.140625" bestFit="1" customWidth="1"/>
    <col min="10" max="10" width="10.85546875" bestFit="1" customWidth="1"/>
    <col min="11" max="11" width="13.42578125" bestFit="1" customWidth="1"/>
    <col min="12" max="12" width="13" bestFit="1" customWidth="1"/>
    <col min="14" max="14" width="18.7109375" bestFit="1" customWidth="1"/>
  </cols>
  <sheetData>
    <row r="1" spans="1:15" ht="18.75" x14ac:dyDescent="0.3">
      <c r="A1" s="11" t="s">
        <v>67</v>
      </c>
      <c r="B1" s="11"/>
      <c r="C1" s="11"/>
      <c r="D1" s="11"/>
      <c r="E1" s="11"/>
      <c r="F1" s="11"/>
      <c r="G1" s="11"/>
      <c r="H1" s="11"/>
      <c r="I1" s="11"/>
      <c r="J1" s="11"/>
      <c r="K1" s="11"/>
      <c r="L1" s="11"/>
    </row>
    <row r="2" spans="1:15" x14ac:dyDescent="0.25">
      <c r="A2" s="12" t="s">
        <v>0</v>
      </c>
      <c r="B2" s="12" t="s">
        <v>1</v>
      </c>
      <c r="C2" s="12" t="s">
        <v>2</v>
      </c>
      <c r="D2" s="12" t="s">
        <v>3</v>
      </c>
      <c r="E2" s="12" t="s">
        <v>4</v>
      </c>
      <c r="F2" s="12" t="s">
        <v>5</v>
      </c>
      <c r="G2" s="13" t="s">
        <v>6</v>
      </c>
      <c r="H2" s="13" t="s">
        <v>7</v>
      </c>
      <c r="I2" s="13" t="s">
        <v>8</v>
      </c>
      <c r="J2" s="14" t="s">
        <v>64</v>
      </c>
      <c r="K2" s="14" t="s">
        <v>65</v>
      </c>
      <c r="L2" s="14" t="s">
        <v>66</v>
      </c>
      <c r="N2" s="14" t="s">
        <v>68</v>
      </c>
      <c r="O2" s="15">
        <f>SUM(H3:H32)</f>
        <v>1101600</v>
      </c>
    </row>
    <row r="3" spans="1:15" x14ac:dyDescent="0.25">
      <c r="A3" s="7" t="s">
        <v>9</v>
      </c>
      <c r="B3" s="8">
        <v>46031</v>
      </c>
      <c r="C3" s="7" t="s">
        <v>10</v>
      </c>
      <c r="D3" s="7" t="s">
        <v>11</v>
      </c>
      <c r="E3" s="7" t="s">
        <v>12</v>
      </c>
      <c r="F3" s="7" t="s">
        <v>13</v>
      </c>
      <c r="G3" s="9">
        <v>2</v>
      </c>
      <c r="H3" s="9">
        <v>110000</v>
      </c>
      <c r="I3" s="9">
        <v>0</v>
      </c>
      <c r="J3" s="10" t="str">
        <f>TEXT('01_Raw_Data'!B2,"mmmm")</f>
        <v>January</v>
      </c>
      <c r="K3" s="10" t="str">
        <f>IF('01_Raw_Data'!I2&gt;1,"Error","No Error")</f>
        <v>No Error</v>
      </c>
      <c r="L3" s="10" t="str">
        <f>IF('01_Raw_Data'!H2&gt;50000,"High",IF('01_Raw_Data'!H2&gt;=20000,"Medium","Low"))</f>
        <v>High</v>
      </c>
      <c r="N3" s="14" t="s">
        <v>69</v>
      </c>
      <c r="O3" s="10">
        <f>COUNTA(A3:A32)</f>
        <v>30</v>
      </c>
    </row>
    <row r="4" spans="1:15" x14ac:dyDescent="0.25">
      <c r="A4" s="7" t="s">
        <v>14</v>
      </c>
      <c r="B4" s="8">
        <v>46062</v>
      </c>
      <c r="C4" s="7" t="s">
        <v>15</v>
      </c>
      <c r="D4" s="7" t="s">
        <v>16</v>
      </c>
      <c r="E4" s="7" t="s">
        <v>17</v>
      </c>
      <c r="F4" s="7" t="s">
        <v>18</v>
      </c>
      <c r="G4" s="9">
        <v>5</v>
      </c>
      <c r="H4" s="9">
        <v>6000</v>
      </c>
      <c r="I4" s="9">
        <v>1</v>
      </c>
      <c r="J4" s="10" t="str">
        <f>TEXT('01_Raw_Data'!B3,"mmmm")</f>
        <v>February</v>
      </c>
      <c r="K4" s="10" t="str">
        <f>IF('01_Raw_Data'!I3&gt;1,"Error","No Error")</f>
        <v>No Error</v>
      </c>
      <c r="L4" s="10" t="str">
        <f>IF('01_Raw_Data'!H3&gt;50000,"High",IF('01_Raw_Data'!H3&gt;=20000,"Medium","Low"))</f>
        <v>Low</v>
      </c>
      <c r="N4" s="14" t="s">
        <v>70</v>
      </c>
      <c r="O4" s="15">
        <f>SUM(G3:G32)</f>
        <v>119</v>
      </c>
    </row>
    <row r="5" spans="1:15" x14ac:dyDescent="0.25">
      <c r="A5" s="7" t="s">
        <v>19</v>
      </c>
      <c r="B5" s="8">
        <v>46090</v>
      </c>
      <c r="C5" s="7" t="s">
        <v>20</v>
      </c>
      <c r="D5" s="7" t="s">
        <v>21</v>
      </c>
      <c r="E5" s="7" t="s">
        <v>22</v>
      </c>
      <c r="F5" s="7" t="s">
        <v>23</v>
      </c>
      <c r="G5" s="9">
        <v>3</v>
      </c>
      <c r="H5" s="9">
        <v>15000</v>
      </c>
      <c r="I5" s="9">
        <v>0</v>
      </c>
      <c r="J5" s="10" t="str">
        <f>TEXT('01_Raw_Data'!B4,"mmmm")</f>
        <v>March</v>
      </c>
      <c r="K5" s="10" t="str">
        <f>IF('01_Raw_Data'!I4&gt;1,"Error","No Error")</f>
        <v>No Error</v>
      </c>
      <c r="L5" s="10" t="str">
        <f>IF('01_Raw_Data'!H4&gt;50000,"High",IF('01_Raw_Data'!H4&gt;=20000,"Medium","Low"))</f>
        <v>Low</v>
      </c>
      <c r="N5" s="14" t="s">
        <v>72</v>
      </c>
      <c r="O5" s="10">
        <f>SUMIF(I3:I32,"&gt;=1",I3:I32)</f>
        <v>14</v>
      </c>
    </row>
    <row r="6" spans="1:15" x14ac:dyDescent="0.25">
      <c r="A6" s="7" t="s">
        <v>24</v>
      </c>
      <c r="B6" s="8">
        <v>46121</v>
      </c>
      <c r="C6" s="7" t="s">
        <v>10</v>
      </c>
      <c r="D6" s="7" t="s">
        <v>11</v>
      </c>
      <c r="E6" s="7" t="s">
        <v>12</v>
      </c>
      <c r="F6" s="7" t="s">
        <v>25</v>
      </c>
      <c r="G6" s="9">
        <v>2</v>
      </c>
      <c r="H6" s="9">
        <v>36000</v>
      </c>
      <c r="I6" s="9">
        <v>1</v>
      </c>
      <c r="J6" s="10" t="str">
        <f>TEXT('01_Raw_Data'!B5,"mmmm")</f>
        <v>April</v>
      </c>
      <c r="K6" s="10" t="str">
        <f>IF('01_Raw_Data'!I5&gt;1,"Error","No Error")</f>
        <v>No Error</v>
      </c>
      <c r="L6" s="10" t="str">
        <f>IF('01_Raw_Data'!H5&gt;50000,"High",IF('01_Raw_Data'!H5&gt;=20000,"Medium","Low"))</f>
        <v>Medium</v>
      </c>
      <c r="N6" s="14" t="s">
        <v>71</v>
      </c>
      <c r="O6" s="15">
        <f>AVERAGE(H3:H32)</f>
        <v>36720</v>
      </c>
    </row>
    <row r="7" spans="1:15" x14ac:dyDescent="0.25">
      <c r="A7" s="7" t="s">
        <v>26</v>
      </c>
      <c r="B7" s="8">
        <v>46151</v>
      </c>
      <c r="C7" s="7" t="s">
        <v>27</v>
      </c>
      <c r="D7" s="7" t="s">
        <v>16</v>
      </c>
      <c r="E7" s="7" t="s">
        <v>17</v>
      </c>
      <c r="F7" s="7" t="s">
        <v>18</v>
      </c>
      <c r="G7" s="9">
        <v>4</v>
      </c>
      <c r="H7" s="9">
        <v>4800</v>
      </c>
      <c r="I7" s="9">
        <v>2</v>
      </c>
      <c r="J7" s="10" t="str">
        <f>TEXT('01_Raw_Data'!B6,"mmmm")</f>
        <v>May</v>
      </c>
      <c r="K7" s="10" t="str">
        <f>IF('01_Raw_Data'!I6&gt;1,"Error","No Error")</f>
        <v>Error</v>
      </c>
      <c r="L7" s="10" t="str">
        <f>IF('01_Raw_Data'!H6&gt;50000,"High",IF('01_Raw_Data'!H6&gt;=20000,"Medium","Low"))</f>
        <v>Low</v>
      </c>
      <c r="N7" s="32"/>
    </row>
    <row r="8" spans="1:15" x14ac:dyDescent="0.25">
      <c r="A8" s="7" t="s">
        <v>28</v>
      </c>
      <c r="B8" s="8">
        <v>46182</v>
      </c>
      <c r="C8" s="7" t="s">
        <v>29</v>
      </c>
      <c r="D8" s="7" t="s">
        <v>21</v>
      </c>
      <c r="E8" s="7" t="s">
        <v>12</v>
      </c>
      <c r="F8" s="7" t="s">
        <v>13</v>
      </c>
      <c r="G8" s="9">
        <v>1</v>
      </c>
      <c r="H8" s="9">
        <v>55000</v>
      </c>
      <c r="I8" s="9">
        <v>0</v>
      </c>
      <c r="J8" s="10" t="str">
        <f>TEXT('01_Raw_Data'!B7,"mmmm")</f>
        <v>June</v>
      </c>
      <c r="K8" s="10" t="str">
        <f>IF('01_Raw_Data'!I7&gt;1,"Error","No Error")</f>
        <v>No Error</v>
      </c>
      <c r="L8" s="10" t="str">
        <f>IF('01_Raw_Data'!H7&gt;50000,"High",IF('01_Raw_Data'!H7&gt;=20000,"Medium","Low"))</f>
        <v>High</v>
      </c>
    </row>
    <row r="9" spans="1:15" x14ac:dyDescent="0.25">
      <c r="A9" s="7" t="s">
        <v>30</v>
      </c>
      <c r="B9" s="8">
        <v>46212</v>
      </c>
      <c r="C9" s="7" t="s">
        <v>10</v>
      </c>
      <c r="D9" s="7" t="s">
        <v>16</v>
      </c>
      <c r="E9" s="7" t="s">
        <v>22</v>
      </c>
      <c r="F9" s="7" t="s">
        <v>23</v>
      </c>
      <c r="G9" s="9">
        <v>5</v>
      </c>
      <c r="H9" s="9">
        <v>25000</v>
      </c>
      <c r="I9" s="9">
        <v>0</v>
      </c>
      <c r="J9" s="10" t="str">
        <f>TEXT('01_Raw_Data'!B8,"mmmm")</f>
        <v>July</v>
      </c>
      <c r="K9" s="10" t="str">
        <f>IF('01_Raw_Data'!I8&gt;1,"Error","No Error")</f>
        <v>No Error</v>
      </c>
      <c r="L9" s="10" t="str">
        <f>IF('01_Raw_Data'!H8&gt;50000,"High",IF('01_Raw_Data'!H8&gt;=20000,"Medium","Low"))</f>
        <v>Medium</v>
      </c>
    </row>
    <row r="10" spans="1:15" x14ac:dyDescent="0.25">
      <c r="A10" s="7" t="s">
        <v>31</v>
      </c>
      <c r="B10" s="8">
        <v>46243</v>
      </c>
      <c r="C10" s="7" t="s">
        <v>20</v>
      </c>
      <c r="D10" s="7" t="s">
        <v>11</v>
      </c>
      <c r="E10" s="7" t="s">
        <v>17</v>
      </c>
      <c r="F10" s="7" t="s">
        <v>18</v>
      </c>
      <c r="G10" s="9">
        <v>8</v>
      </c>
      <c r="H10" s="9">
        <v>9600</v>
      </c>
      <c r="I10" s="9">
        <v>1</v>
      </c>
      <c r="J10" s="10" t="str">
        <f>TEXT('01_Raw_Data'!B9,"mmmm")</f>
        <v>August</v>
      </c>
      <c r="K10" s="10" t="str">
        <f>IF('01_Raw_Data'!I9&gt;1,"Error","No Error")</f>
        <v>No Error</v>
      </c>
      <c r="L10" s="10" t="str">
        <f>IF('01_Raw_Data'!H9&gt;50000,"High",IF('01_Raw_Data'!H9&gt;=20000,"Medium","Low"))</f>
        <v>Low</v>
      </c>
    </row>
    <row r="11" spans="1:15" x14ac:dyDescent="0.25">
      <c r="A11" s="7" t="s">
        <v>32</v>
      </c>
      <c r="B11" s="8">
        <v>46274</v>
      </c>
      <c r="C11" s="7" t="s">
        <v>27</v>
      </c>
      <c r="D11" s="7" t="s">
        <v>21</v>
      </c>
      <c r="E11" s="7" t="s">
        <v>12</v>
      </c>
      <c r="F11" s="7" t="s">
        <v>25</v>
      </c>
      <c r="G11" s="9">
        <v>3</v>
      </c>
      <c r="H11" s="9">
        <v>54000</v>
      </c>
      <c r="I11" s="9">
        <v>0</v>
      </c>
      <c r="J11" s="10" t="str">
        <f>TEXT('01_Raw_Data'!B10,"mmmm")</f>
        <v>September</v>
      </c>
      <c r="K11" s="10" t="str">
        <f>IF('01_Raw_Data'!I10&gt;1,"Error","No Error")</f>
        <v>No Error</v>
      </c>
      <c r="L11" s="10" t="str">
        <f>IF('01_Raw_Data'!H10&gt;50000,"High",IF('01_Raw_Data'!H10&gt;=20000,"Medium","Low"))</f>
        <v>High</v>
      </c>
    </row>
    <row r="12" spans="1:15" x14ac:dyDescent="0.25">
      <c r="A12" s="7" t="s">
        <v>33</v>
      </c>
      <c r="B12" s="8">
        <v>46304</v>
      </c>
      <c r="C12" s="7" t="s">
        <v>15</v>
      </c>
      <c r="D12" s="7" t="s">
        <v>11</v>
      </c>
      <c r="E12" s="7" t="s">
        <v>22</v>
      </c>
      <c r="F12" s="7" t="s">
        <v>23</v>
      </c>
      <c r="G12" s="9">
        <v>4</v>
      </c>
      <c r="H12" s="9">
        <v>20000</v>
      </c>
      <c r="I12" s="9">
        <v>0</v>
      </c>
      <c r="J12" s="10" t="str">
        <f>TEXT('01_Raw_Data'!B11,"mmmm")</f>
        <v>October</v>
      </c>
      <c r="K12" s="10" t="str">
        <f>IF('01_Raw_Data'!I11&gt;1,"Error","No Error")</f>
        <v>No Error</v>
      </c>
      <c r="L12" s="10" t="str">
        <f>IF('01_Raw_Data'!H11&gt;50000,"High",IF('01_Raw_Data'!H11&gt;=20000,"Medium","Low"))</f>
        <v>Medium</v>
      </c>
    </row>
    <row r="13" spans="1:15" x14ac:dyDescent="0.25">
      <c r="A13" s="7" t="s">
        <v>34</v>
      </c>
      <c r="B13" s="8">
        <v>46335</v>
      </c>
      <c r="C13" s="7" t="s">
        <v>29</v>
      </c>
      <c r="D13" s="7" t="s">
        <v>16</v>
      </c>
      <c r="E13" s="7" t="s">
        <v>12</v>
      </c>
      <c r="F13" s="7" t="s">
        <v>13</v>
      </c>
      <c r="G13" s="9">
        <v>2</v>
      </c>
      <c r="H13" s="9">
        <v>110000</v>
      </c>
      <c r="I13" s="9">
        <v>0</v>
      </c>
      <c r="J13" s="10" t="str">
        <f>TEXT('01_Raw_Data'!B12,"mmmm")</f>
        <v>November</v>
      </c>
      <c r="K13" s="10" t="str">
        <f>IF('01_Raw_Data'!I12&gt;1,"Error","No Error")</f>
        <v>No Error</v>
      </c>
      <c r="L13" s="10" t="str">
        <f>IF('01_Raw_Data'!H12&gt;50000,"High",IF('01_Raw_Data'!H12&gt;=20000,"Medium","Low"))</f>
        <v>High</v>
      </c>
    </row>
    <row r="14" spans="1:15" x14ac:dyDescent="0.25">
      <c r="A14" s="7" t="s">
        <v>35</v>
      </c>
      <c r="B14" s="8">
        <v>46365</v>
      </c>
      <c r="C14" s="7" t="s">
        <v>10</v>
      </c>
      <c r="D14" s="7" t="s">
        <v>21</v>
      </c>
      <c r="E14" s="7" t="s">
        <v>17</v>
      </c>
      <c r="F14" s="7" t="s">
        <v>18</v>
      </c>
      <c r="G14" s="9">
        <v>6</v>
      </c>
      <c r="H14" s="9">
        <v>7200</v>
      </c>
      <c r="I14" s="9">
        <v>1</v>
      </c>
      <c r="J14" s="10" t="str">
        <f>TEXT('01_Raw_Data'!B13,"mmmm")</f>
        <v>December</v>
      </c>
      <c r="K14" s="10" t="str">
        <f>IF('01_Raw_Data'!I13&gt;1,"Error","No Error")</f>
        <v>No Error</v>
      </c>
      <c r="L14" s="10" t="str">
        <f>IF('01_Raw_Data'!H13&gt;50000,"High",IF('01_Raw_Data'!H13&gt;=20000,"Medium","Low"))</f>
        <v>Low</v>
      </c>
    </row>
    <row r="15" spans="1:15" x14ac:dyDescent="0.25">
      <c r="A15" s="7" t="s">
        <v>36</v>
      </c>
      <c r="B15" s="8" t="s">
        <v>37</v>
      </c>
      <c r="C15" s="7" t="s">
        <v>20</v>
      </c>
      <c r="D15" s="7" t="s">
        <v>16</v>
      </c>
      <c r="E15" s="7" t="s">
        <v>12</v>
      </c>
      <c r="F15" s="7" t="s">
        <v>25</v>
      </c>
      <c r="G15" s="9">
        <v>2</v>
      </c>
      <c r="H15" s="9">
        <v>36000</v>
      </c>
      <c r="I15" s="9">
        <v>0</v>
      </c>
      <c r="J15" s="10" t="str">
        <f>TEXT('01_Raw_Data'!B14,"mmmm")</f>
        <v>13/09/2026</v>
      </c>
      <c r="K15" s="10" t="str">
        <f>IF('01_Raw_Data'!I14&gt;1,"Error","No Error")</f>
        <v>No Error</v>
      </c>
      <c r="L15" s="10" t="str">
        <f>IF('01_Raw_Data'!H14&gt;50000,"High",IF('01_Raw_Data'!H14&gt;=20000,"Medium","Low"))</f>
        <v>Medium</v>
      </c>
    </row>
    <row r="16" spans="1:15" x14ac:dyDescent="0.25">
      <c r="A16" s="7" t="s">
        <v>38</v>
      </c>
      <c r="B16" s="8" t="s">
        <v>39</v>
      </c>
      <c r="C16" s="7" t="s">
        <v>27</v>
      </c>
      <c r="D16" s="7" t="s">
        <v>11</v>
      </c>
      <c r="E16" s="7" t="s">
        <v>22</v>
      </c>
      <c r="F16" s="7" t="s">
        <v>23</v>
      </c>
      <c r="G16" s="9">
        <v>3</v>
      </c>
      <c r="H16" s="9">
        <v>15000</v>
      </c>
      <c r="I16" s="9">
        <v>2</v>
      </c>
      <c r="J16" s="10" t="str">
        <f>TEXT('01_Raw_Data'!B15,"mmmm")</f>
        <v>14/09/2026</v>
      </c>
      <c r="K16" s="10" t="str">
        <f>IF('01_Raw_Data'!I15&gt;1,"Error","No Error")</f>
        <v>Error</v>
      </c>
      <c r="L16" s="10" t="str">
        <f>IF('01_Raw_Data'!H15&gt;50000,"High",IF('01_Raw_Data'!H15&gt;=20000,"Medium","Low"))</f>
        <v>Low</v>
      </c>
    </row>
    <row r="17" spans="1:12" x14ac:dyDescent="0.25">
      <c r="A17" s="7" t="s">
        <v>40</v>
      </c>
      <c r="B17" s="8" t="s">
        <v>41</v>
      </c>
      <c r="C17" s="7" t="s">
        <v>15</v>
      </c>
      <c r="D17" s="7" t="s">
        <v>21</v>
      </c>
      <c r="E17" s="7" t="s">
        <v>12</v>
      </c>
      <c r="F17" s="7" t="s">
        <v>13</v>
      </c>
      <c r="G17" s="9">
        <v>1</v>
      </c>
      <c r="H17" s="9">
        <v>55000</v>
      </c>
      <c r="I17" s="9">
        <v>0</v>
      </c>
      <c r="J17" s="10" t="str">
        <f>TEXT('01_Raw_Data'!B16,"mmmm")</f>
        <v>15/09/2026</v>
      </c>
      <c r="K17" s="10" t="str">
        <f>IF('01_Raw_Data'!I16&gt;1,"Error","No Error")</f>
        <v>No Error</v>
      </c>
      <c r="L17" s="10" t="str">
        <f>IF('01_Raw_Data'!H16&gt;50000,"High",IF('01_Raw_Data'!H16&gt;=20000,"Medium","Low"))</f>
        <v>High</v>
      </c>
    </row>
    <row r="18" spans="1:12" x14ac:dyDescent="0.25">
      <c r="A18" s="7" t="s">
        <v>42</v>
      </c>
      <c r="B18" s="8" t="s">
        <v>43</v>
      </c>
      <c r="C18" s="7" t="s">
        <v>29</v>
      </c>
      <c r="D18" s="7" t="s">
        <v>11</v>
      </c>
      <c r="E18" s="7" t="s">
        <v>17</v>
      </c>
      <c r="F18" s="7" t="s">
        <v>18</v>
      </c>
      <c r="G18" s="9">
        <v>7</v>
      </c>
      <c r="H18" s="9">
        <v>8400</v>
      </c>
      <c r="I18" s="9">
        <v>0</v>
      </c>
      <c r="J18" s="10" t="str">
        <f>TEXT('01_Raw_Data'!B17,"mmmm")</f>
        <v>16/09/2026</v>
      </c>
      <c r="K18" s="10" t="str">
        <f>IF('01_Raw_Data'!I17&gt;1,"Error","No Error")</f>
        <v>No Error</v>
      </c>
      <c r="L18" s="10" t="str">
        <f>IF('01_Raw_Data'!H17&gt;50000,"High",IF('01_Raw_Data'!H17&gt;=20000,"Medium","Low"))</f>
        <v>Low</v>
      </c>
    </row>
    <row r="19" spans="1:12" x14ac:dyDescent="0.25">
      <c r="A19" s="7" t="s">
        <v>44</v>
      </c>
      <c r="B19" s="8" t="s">
        <v>45</v>
      </c>
      <c r="C19" s="7" t="s">
        <v>10</v>
      </c>
      <c r="D19" s="7" t="s">
        <v>16</v>
      </c>
      <c r="E19" s="7" t="s">
        <v>12</v>
      </c>
      <c r="F19" s="7" t="s">
        <v>25</v>
      </c>
      <c r="G19" s="9">
        <v>4</v>
      </c>
      <c r="H19" s="9">
        <v>72000</v>
      </c>
      <c r="I19" s="9">
        <v>1</v>
      </c>
      <c r="J19" s="10" t="str">
        <f>TEXT('01_Raw_Data'!B18,"mmmm")</f>
        <v>17/09/2026</v>
      </c>
      <c r="K19" s="10" t="str">
        <f>IF('01_Raw_Data'!I18&gt;1,"Error","No Error")</f>
        <v>No Error</v>
      </c>
      <c r="L19" s="10" t="str">
        <f>IF('01_Raw_Data'!H18&gt;50000,"High",IF('01_Raw_Data'!H18&gt;=20000,"Medium","Low"))</f>
        <v>High</v>
      </c>
    </row>
    <row r="20" spans="1:12" x14ac:dyDescent="0.25">
      <c r="A20" s="7" t="s">
        <v>46</v>
      </c>
      <c r="B20" s="8" t="s">
        <v>47</v>
      </c>
      <c r="C20" s="7" t="s">
        <v>20</v>
      </c>
      <c r="D20" s="7" t="s">
        <v>21</v>
      </c>
      <c r="E20" s="7" t="s">
        <v>22</v>
      </c>
      <c r="F20" s="7" t="s">
        <v>23</v>
      </c>
      <c r="G20" s="9">
        <v>6</v>
      </c>
      <c r="H20" s="9">
        <v>30000</v>
      </c>
      <c r="I20" s="9">
        <v>0</v>
      </c>
      <c r="J20" s="10" t="str">
        <f>TEXT('01_Raw_Data'!B19,"mmmm")</f>
        <v>18/09/2026</v>
      </c>
      <c r="K20" s="10" t="str">
        <f>IF('01_Raw_Data'!I19&gt;1,"Error","No Error")</f>
        <v>No Error</v>
      </c>
      <c r="L20" s="10" t="str">
        <f>IF('01_Raw_Data'!H19&gt;50000,"High",IF('01_Raw_Data'!H19&gt;=20000,"Medium","Low"))</f>
        <v>Medium</v>
      </c>
    </row>
    <row r="21" spans="1:12" x14ac:dyDescent="0.25">
      <c r="A21" s="7" t="s">
        <v>48</v>
      </c>
      <c r="B21" s="8" t="s">
        <v>49</v>
      </c>
      <c r="C21" s="7" t="s">
        <v>27</v>
      </c>
      <c r="D21" s="7" t="s">
        <v>11</v>
      </c>
      <c r="E21" s="7" t="s">
        <v>12</v>
      </c>
      <c r="F21" s="7" t="s">
        <v>13</v>
      </c>
      <c r="G21" s="9">
        <v>1</v>
      </c>
      <c r="H21" s="9">
        <v>55000</v>
      </c>
      <c r="I21" s="9">
        <v>1</v>
      </c>
      <c r="J21" s="10" t="str">
        <f>TEXT('01_Raw_Data'!B20,"mmmm")</f>
        <v>19/09/2026</v>
      </c>
      <c r="K21" s="10" t="str">
        <f>IF('01_Raw_Data'!I20&gt;1,"Error","No Error")</f>
        <v>No Error</v>
      </c>
      <c r="L21" s="10" t="str">
        <f>IF('01_Raw_Data'!H20&gt;50000,"High",IF('01_Raw_Data'!H20&gt;=20000,"Medium","Low"))</f>
        <v>High</v>
      </c>
    </row>
    <row r="22" spans="1:12" x14ac:dyDescent="0.25">
      <c r="A22" s="7" t="s">
        <v>50</v>
      </c>
      <c r="B22" s="8" t="s">
        <v>51</v>
      </c>
      <c r="C22" s="7" t="s">
        <v>29</v>
      </c>
      <c r="D22" s="7" t="s">
        <v>16</v>
      </c>
      <c r="E22" s="7" t="s">
        <v>22</v>
      </c>
      <c r="F22" s="7" t="s">
        <v>23</v>
      </c>
      <c r="G22" s="9">
        <v>4</v>
      </c>
      <c r="H22" s="9">
        <v>20000</v>
      </c>
      <c r="I22" s="9">
        <v>0</v>
      </c>
      <c r="J22" s="10" t="str">
        <f>TEXT('01_Raw_Data'!B21,"mmmm")</f>
        <v>20/09/2026</v>
      </c>
      <c r="K22" s="10" t="str">
        <f>IF('01_Raw_Data'!I21&gt;1,"Error","No Error")</f>
        <v>No Error</v>
      </c>
      <c r="L22" s="10" t="str">
        <f>IF('01_Raw_Data'!H21&gt;50000,"High",IF('01_Raw_Data'!H21&gt;=20000,"Medium","Low"))</f>
        <v>Medium</v>
      </c>
    </row>
    <row r="23" spans="1:12" x14ac:dyDescent="0.25">
      <c r="A23" s="7" t="s">
        <v>52</v>
      </c>
      <c r="B23" s="8" t="s">
        <v>51</v>
      </c>
      <c r="C23" s="7" t="s">
        <v>15</v>
      </c>
      <c r="D23" s="7" t="s">
        <v>21</v>
      </c>
      <c r="E23" s="7" t="s">
        <v>17</v>
      </c>
      <c r="F23" s="7" t="s">
        <v>18</v>
      </c>
      <c r="G23" s="9">
        <v>9</v>
      </c>
      <c r="H23" s="9">
        <v>10800</v>
      </c>
      <c r="I23" s="9">
        <v>1</v>
      </c>
      <c r="J23" s="10" t="str">
        <f>TEXT('01_Raw_Data'!B22,"mmmm")</f>
        <v>20/09/2026</v>
      </c>
      <c r="K23" s="10" t="str">
        <f>IF('01_Raw_Data'!I22&gt;1,"Error","No Error")</f>
        <v>No Error</v>
      </c>
      <c r="L23" s="10" t="str">
        <f>IF('01_Raw_Data'!H22&gt;50000,"High",IF('01_Raw_Data'!H22&gt;=20000,"Medium","Low"))</f>
        <v>Low</v>
      </c>
    </row>
    <row r="24" spans="1:12" x14ac:dyDescent="0.25">
      <c r="A24" s="7" t="s">
        <v>53</v>
      </c>
      <c r="B24" s="8" t="s">
        <v>51</v>
      </c>
      <c r="C24" s="7" t="s">
        <v>10</v>
      </c>
      <c r="D24" s="7" t="s">
        <v>11</v>
      </c>
      <c r="E24" s="7" t="s">
        <v>22</v>
      </c>
      <c r="F24" s="7" t="s">
        <v>23</v>
      </c>
      <c r="G24" s="9">
        <v>5</v>
      </c>
      <c r="H24" s="9">
        <v>25000</v>
      </c>
      <c r="I24" s="9">
        <v>0</v>
      </c>
      <c r="J24" s="10" t="str">
        <f>TEXT('01_Raw_Data'!B23,"mmmm")</f>
        <v>20/09/2026</v>
      </c>
      <c r="K24" s="10" t="str">
        <f>IF('01_Raw_Data'!I23&gt;1,"Error","No Error")</f>
        <v>No Error</v>
      </c>
      <c r="L24" s="10" t="str">
        <f>IF('01_Raw_Data'!H23&gt;50000,"High",IF('01_Raw_Data'!H23&gt;=20000,"Medium","Low"))</f>
        <v>Medium</v>
      </c>
    </row>
    <row r="25" spans="1:12" x14ac:dyDescent="0.25">
      <c r="A25" s="7" t="s">
        <v>54</v>
      </c>
      <c r="B25" s="8" t="s">
        <v>51</v>
      </c>
      <c r="C25" s="7" t="s">
        <v>20</v>
      </c>
      <c r="D25" s="7" t="s">
        <v>16</v>
      </c>
      <c r="E25" s="7" t="s">
        <v>17</v>
      </c>
      <c r="F25" s="7" t="s">
        <v>18</v>
      </c>
      <c r="G25" s="9">
        <v>6</v>
      </c>
      <c r="H25" s="9">
        <v>7200</v>
      </c>
      <c r="I25" s="9">
        <v>0</v>
      </c>
      <c r="J25" s="10" t="str">
        <f>TEXT('01_Raw_Data'!B24,"mmmm")</f>
        <v>20/09/2026</v>
      </c>
      <c r="K25" s="10" t="str">
        <f>IF('01_Raw_Data'!I24&gt;1,"Error","No Error")</f>
        <v>No Error</v>
      </c>
      <c r="L25" s="10" t="str">
        <f>IF('01_Raw_Data'!H24&gt;50000,"High",IF('01_Raw_Data'!H24&gt;=20000,"Medium","Low"))</f>
        <v>Low</v>
      </c>
    </row>
    <row r="26" spans="1:12" x14ac:dyDescent="0.25">
      <c r="A26" s="7" t="s">
        <v>55</v>
      </c>
      <c r="B26" s="8" t="s">
        <v>51</v>
      </c>
      <c r="C26" s="7" t="s">
        <v>27</v>
      </c>
      <c r="D26" s="7" t="s">
        <v>21</v>
      </c>
      <c r="E26" s="7" t="s">
        <v>12</v>
      </c>
      <c r="F26" s="7" t="s">
        <v>25</v>
      </c>
      <c r="G26" s="9">
        <v>2</v>
      </c>
      <c r="H26" s="9">
        <v>36000</v>
      </c>
      <c r="I26" s="9">
        <v>2</v>
      </c>
      <c r="J26" s="10" t="str">
        <f>TEXT('01_Raw_Data'!B25,"mmmm")</f>
        <v>20/09/2026</v>
      </c>
      <c r="K26" s="10" t="str">
        <f>IF('01_Raw_Data'!I25&gt;1,"Error","No Error")</f>
        <v>Error</v>
      </c>
      <c r="L26" s="10" t="str">
        <f>IF('01_Raw_Data'!H25&gt;50000,"High",IF('01_Raw_Data'!H25&gt;=20000,"Medium","Low"))</f>
        <v>Medium</v>
      </c>
    </row>
    <row r="27" spans="1:12" x14ac:dyDescent="0.25">
      <c r="A27" s="7" t="s">
        <v>56</v>
      </c>
      <c r="B27" s="8" t="s">
        <v>51</v>
      </c>
      <c r="C27" s="7" t="s">
        <v>29</v>
      </c>
      <c r="D27" s="7" t="s">
        <v>11</v>
      </c>
      <c r="E27" s="7" t="s">
        <v>12</v>
      </c>
      <c r="F27" s="7" t="s">
        <v>13</v>
      </c>
      <c r="G27" s="9">
        <v>2</v>
      </c>
      <c r="H27" s="9">
        <v>110000</v>
      </c>
      <c r="I27" s="9">
        <v>0</v>
      </c>
      <c r="J27" s="10" t="str">
        <f>TEXT('01_Raw_Data'!B26,"mmmm")</f>
        <v>20/09/2026</v>
      </c>
      <c r="K27" s="10" t="str">
        <f>IF('01_Raw_Data'!I26&gt;1,"Error","No Error")</f>
        <v>No Error</v>
      </c>
      <c r="L27" s="10" t="str">
        <f>IF('01_Raw_Data'!H26&gt;50000,"High",IF('01_Raw_Data'!H26&gt;=20000,"Medium","Low"))</f>
        <v>High</v>
      </c>
    </row>
    <row r="28" spans="1:12" x14ac:dyDescent="0.25">
      <c r="A28" s="7" t="s">
        <v>57</v>
      </c>
      <c r="B28" s="8" t="s">
        <v>51</v>
      </c>
      <c r="C28" s="7" t="s">
        <v>15</v>
      </c>
      <c r="D28" s="7" t="s">
        <v>16</v>
      </c>
      <c r="E28" s="7" t="s">
        <v>22</v>
      </c>
      <c r="F28" s="7" t="s">
        <v>23</v>
      </c>
      <c r="G28" s="9">
        <v>3</v>
      </c>
      <c r="H28" s="9">
        <v>15000</v>
      </c>
      <c r="I28" s="9">
        <v>0</v>
      </c>
      <c r="J28" s="10" t="str">
        <f>TEXT('01_Raw_Data'!B27,"mmmm")</f>
        <v>20/09/2026</v>
      </c>
      <c r="K28" s="10" t="str">
        <f>IF('01_Raw_Data'!I27&gt;1,"Error","No Error")</f>
        <v>No Error</v>
      </c>
      <c r="L28" s="10" t="str">
        <f>IF('01_Raw_Data'!H27&gt;50000,"High",IF('01_Raw_Data'!H27&gt;=20000,"Medium","Low"))</f>
        <v>Low</v>
      </c>
    </row>
    <row r="29" spans="1:12" x14ac:dyDescent="0.25">
      <c r="A29" s="7" t="s">
        <v>58</v>
      </c>
      <c r="B29" s="8" t="s">
        <v>51</v>
      </c>
      <c r="C29" s="7" t="s">
        <v>10</v>
      </c>
      <c r="D29" s="7" t="s">
        <v>21</v>
      </c>
      <c r="E29" s="7" t="s">
        <v>12</v>
      </c>
      <c r="F29" s="7" t="s">
        <v>13</v>
      </c>
      <c r="G29" s="9">
        <v>1</v>
      </c>
      <c r="H29" s="9">
        <v>55000</v>
      </c>
      <c r="I29" s="9">
        <v>0</v>
      </c>
      <c r="J29" s="10" t="str">
        <f>TEXT('01_Raw_Data'!B28,"mmmm")</f>
        <v>20/09/2026</v>
      </c>
      <c r="K29" s="10" t="str">
        <f>IF('01_Raw_Data'!I28&gt;1,"Error","No Error")</f>
        <v>No Error</v>
      </c>
      <c r="L29" s="10" t="str">
        <f>IF('01_Raw_Data'!H28&gt;50000,"High",IF('01_Raw_Data'!H28&gt;=20000,"Medium","Low"))</f>
        <v>High</v>
      </c>
    </row>
    <row r="30" spans="1:12" x14ac:dyDescent="0.25">
      <c r="A30" s="7" t="s">
        <v>59</v>
      </c>
      <c r="B30" s="8" t="s">
        <v>51</v>
      </c>
      <c r="C30" s="7" t="s">
        <v>20</v>
      </c>
      <c r="D30" s="7" t="s">
        <v>11</v>
      </c>
      <c r="E30" s="7" t="s">
        <v>22</v>
      </c>
      <c r="F30" s="7" t="s">
        <v>23</v>
      </c>
      <c r="G30" s="9">
        <v>7</v>
      </c>
      <c r="H30" s="9">
        <v>35000</v>
      </c>
      <c r="I30" s="9">
        <v>1</v>
      </c>
      <c r="J30" s="10" t="str">
        <f>TEXT('01_Raw_Data'!B29,"mmmm")</f>
        <v>20/09/2026</v>
      </c>
      <c r="K30" s="10" t="str">
        <f>IF('01_Raw_Data'!I29&gt;1,"Error","No Error")</f>
        <v>No Error</v>
      </c>
      <c r="L30" s="10" t="str">
        <f>IF('01_Raw_Data'!H29&gt;50000,"High",IF('01_Raw_Data'!H29&gt;=20000,"Medium","Low"))</f>
        <v>Medium</v>
      </c>
    </row>
    <row r="31" spans="1:12" x14ac:dyDescent="0.25">
      <c r="A31" s="7" t="s">
        <v>60</v>
      </c>
      <c r="B31" s="8" t="s">
        <v>51</v>
      </c>
      <c r="C31" s="7" t="s">
        <v>27</v>
      </c>
      <c r="D31" s="7" t="s">
        <v>16</v>
      </c>
      <c r="E31" s="7" t="s">
        <v>12</v>
      </c>
      <c r="F31" s="7" t="s">
        <v>25</v>
      </c>
      <c r="G31" s="9">
        <v>3</v>
      </c>
      <c r="H31" s="9">
        <v>54000</v>
      </c>
      <c r="I31" s="9">
        <v>0</v>
      </c>
      <c r="J31" s="10" t="str">
        <f>TEXT('01_Raw_Data'!B30,"mmmm")</f>
        <v>20/09/2026</v>
      </c>
      <c r="K31" s="10" t="str">
        <f>IF('01_Raw_Data'!I30&gt;1,"Error","No Error")</f>
        <v>No Error</v>
      </c>
      <c r="L31" s="10" t="str">
        <f>IF('01_Raw_Data'!H30&gt;50000,"High",IF('01_Raw_Data'!H30&gt;=20000,"Medium","Low"))</f>
        <v>High</v>
      </c>
    </row>
    <row r="32" spans="1:12" x14ac:dyDescent="0.25">
      <c r="A32" s="7" t="s">
        <v>61</v>
      </c>
      <c r="B32" s="8" t="s">
        <v>51</v>
      </c>
      <c r="C32" s="7" t="s">
        <v>29</v>
      </c>
      <c r="D32" s="7" t="s">
        <v>21</v>
      </c>
      <c r="E32" s="7" t="s">
        <v>17</v>
      </c>
      <c r="F32" s="7" t="s">
        <v>18</v>
      </c>
      <c r="G32" s="9">
        <v>8</v>
      </c>
      <c r="H32" s="9">
        <v>9600</v>
      </c>
      <c r="I32" s="9">
        <v>0</v>
      </c>
      <c r="J32" s="10" t="str">
        <f>TEXT('01_Raw_Data'!B31,"mmmm")</f>
        <v>20/09/2026</v>
      </c>
      <c r="K32" s="10" t="str">
        <f>IF('01_Raw_Data'!I31&gt;1,"Error","No Error")</f>
        <v>No Error</v>
      </c>
      <c r="L32" s="10" t="str">
        <f>IF('01_Raw_Data'!H31&gt;50000,"High",IF('01_Raw_Data'!H31&gt;=20000,"Medium","Low"))</f>
        <v>Low</v>
      </c>
    </row>
  </sheetData>
  <autoFilter ref="A2:L2" xr:uid="{04EE82E9-EFCF-4427-B6FB-BE6D517DF121}"/>
  <mergeCells count="1">
    <mergeCell ref="A1:L1"/>
  </mergeCells>
  <conditionalFormatting sqref="C3:C32">
    <cfRule type="uniqueValues" dxfId="3" priority="4"/>
    <cfRule type="uniqueValues" dxfId="2" priority="5"/>
  </conditionalFormatting>
  <conditionalFormatting sqref="I3:I32">
    <cfRule type="cellIs" dxfId="1" priority="3" operator="equal">
      <formula>0</formula>
    </cfRule>
  </conditionalFormatting>
  <conditionalFormatting sqref="H3:H32">
    <cfRule type="top10" dxfId="0" priority="1" rank="3"/>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68F3E-A79C-4ACC-8143-81B9E8955EDA}">
  <dimension ref="A1:I15"/>
  <sheetViews>
    <sheetView workbookViewId="0">
      <selection activeCell="G12" sqref="G12"/>
    </sheetView>
  </sheetViews>
  <sheetFormatPr defaultRowHeight="15" x14ac:dyDescent="0.25"/>
  <cols>
    <col min="1" max="1" width="13.28515625" bestFit="1" customWidth="1"/>
    <col min="2" max="2" width="12.42578125" bestFit="1" customWidth="1"/>
    <col min="3" max="3" width="17.7109375" bestFit="1" customWidth="1"/>
    <col min="4" max="4" width="9.42578125" bestFit="1" customWidth="1"/>
    <col min="5" max="5" width="13.28515625" bestFit="1" customWidth="1"/>
    <col min="6" max="6" width="16.28515625" bestFit="1" customWidth="1"/>
    <col min="7" max="7" width="10.7109375" bestFit="1" customWidth="1"/>
    <col min="8" max="8" width="9.42578125" bestFit="1" customWidth="1"/>
    <col min="9" max="9" width="11.5703125" bestFit="1" customWidth="1"/>
    <col min="10" max="16" width="6" bestFit="1" customWidth="1"/>
    <col min="17" max="17" width="7" bestFit="1" customWidth="1"/>
    <col min="18" max="18" width="11.28515625" bestFit="1" customWidth="1"/>
  </cols>
  <sheetData>
    <row r="1" spans="1:9" ht="15.75" x14ac:dyDescent="0.25">
      <c r="A1" s="16" t="s">
        <v>79</v>
      </c>
      <c r="B1" s="16"/>
      <c r="C1" s="16"/>
      <c r="E1" s="16" t="s">
        <v>80</v>
      </c>
      <c r="F1" s="16"/>
      <c r="G1" s="16"/>
    </row>
    <row r="2" spans="1:9" x14ac:dyDescent="0.25">
      <c r="A2" s="25" t="s">
        <v>73</v>
      </c>
      <c r="B2" s="28" t="s">
        <v>75</v>
      </c>
      <c r="C2" s="29" t="s">
        <v>76</v>
      </c>
      <c r="E2" s="17" t="s">
        <v>73</v>
      </c>
      <c r="F2" s="18" t="s">
        <v>75</v>
      </c>
      <c r="G2" s="18" t="s">
        <v>76</v>
      </c>
    </row>
    <row r="3" spans="1:9" x14ac:dyDescent="0.25">
      <c r="A3" s="26" t="s">
        <v>16</v>
      </c>
      <c r="B3" s="23">
        <v>350000</v>
      </c>
      <c r="C3" s="21">
        <v>38</v>
      </c>
      <c r="E3" s="19" t="s">
        <v>17</v>
      </c>
      <c r="F3" s="15">
        <v>63600</v>
      </c>
      <c r="G3" s="15">
        <v>53</v>
      </c>
    </row>
    <row r="4" spans="1:9" x14ac:dyDescent="0.25">
      <c r="A4" s="26" t="s">
        <v>11</v>
      </c>
      <c r="B4" s="23">
        <v>424000</v>
      </c>
      <c r="C4" s="21">
        <v>41</v>
      </c>
      <c r="E4" s="19" t="s">
        <v>12</v>
      </c>
      <c r="F4" s="15">
        <v>838000</v>
      </c>
      <c r="G4" s="15">
        <v>26</v>
      </c>
    </row>
    <row r="5" spans="1:9" x14ac:dyDescent="0.25">
      <c r="A5" s="27" t="s">
        <v>21</v>
      </c>
      <c r="B5" s="23">
        <v>327600</v>
      </c>
      <c r="C5" s="21">
        <v>40</v>
      </c>
      <c r="E5" s="19" t="s">
        <v>22</v>
      </c>
      <c r="F5" s="15">
        <v>200000</v>
      </c>
      <c r="G5" s="15">
        <v>40</v>
      </c>
    </row>
    <row r="6" spans="1:9" x14ac:dyDescent="0.25">
      <c r="A6" s="27" t="s">
        <v>74</v>
      </c>
      <c r="B6" s="24">
        <v>1101600</v>
      </c>
      <c r="C6" s="22">
        <v>119</v>
      </c>
      <c r="E6" s="19" t="s">
        <v>74</v>
      </c>
      <c r="F6" s="15">
        <v>1101600</v>
      </c>
      <c r="G6" s="15">
        <v>119</v>
      </c>
    </row>
    <row r="8" spans="1:9" ht="15.75" x14ac:dyDescent="0.25">
      <c r="A8" s="33" t="s">
        <v>81</v>
      </c>
      <c r="B8" s="34"/>
      <c r="C8" s="35"/>
      <c r="E8" s="33" t="s">
        <v>82</v>
      </c>
      <c r="F8" s="34"/>
      <c r="G8" s="34"/>
      <c r="H8" s="34"/>
      <c r="I8" s="35"/>
    </row>
    <row r="9" spans="1:9" x14ac:dyDescent="0.25">
      <c r="A9" s="17" t="s">
        <v>73</v>
      </c>
      <c r="B9" s="18" t="s">
        <v>75</v>
      </c>
      <c r="C9" s="18" t="s">
        <v>77</v>
      </c>
      <c r="E9" s="17" t="s">
        <v>75</v>
      </c>
      <c r="F9" s="17" t="s">
        <v>78</v>
      </c>
      <c r="G9" s="10"/>
      <c r="H9" s="10"/>
      <c r="I9" s="10"/>
    </row>
    <row r="10" spans="1:9" x14ac:dyDescent="0.25">
      <c r="A10" s="19" t="s">
        <v>20</v>
      </c>
      <c r="B10" s="15">
        <v>132800</v>
      </c>
      <c r="C10" s="20">
        <v>6</v>
      </c>
      <c r="E10" s="17" t="s">
        <v>73</v>
      </c>
      <c r="F10" s="10" t="s">
        <v>17</v>
      </c>
      <c r="G10" s="10" t="s">
        <v>12</v>
      </c>
      <c r="H10" s="10" t="s">
        <v>22</v>
      </c>
      <c r="I10" s="10" t="s">
        <v>74</v>
      </c>
    </row>
    <row r="11" spans="1:9" x14ac:dyDescent="0.25">
      <c r="A11" s="19" t="s">
        <v>27</v>
      </c>
      <c r="B11" s="15">
        <v>218800</v>
      </c>
      <c r="C11" s="20">
        <v>6</v>
      </c>
      <c r="E11" s="19" t="s">
        <v>16</v>
      </c>
      <c r="F11" s="15">
        <v>18000</v>
      </c>
      <c r="G11" s="15">
        <v>272000</v>
      </c>
      <c r="H11" s="15">
        <v>60000</v>
      </c>
      <c r="I11" s="15">
        <v>350000</v>
      </c>
    </row>
    <row r="12" spans="1:9" x14ac:dyDescent="0.25">
      <c r="A12" s="19" t="s">
        <v>15</v>
      </c>
      <c r="B12" s="15">
        <v>106800</v>
      </c>
      <c r="C12" s="20">
        <v>5</v>
      </c>
      <c r="E12" s="19" t="s">
        <v>11</v>
      </c>
      <c r="F12" s="15">
        <v>18000</v>
      </c>
      <c r="G12" s="15">
        <v>311000</v>
      </c>
      <c r="H12" s="15">
        <v>95000</v>
      </c>
      <c r="I12" s="15">
        <v>424000</v>
      </c>
    </row>
    <row r="13" spans="1:9" x14ac:dyDescent="0.25">
      <c r="A13" s="19" t="s">
        <v>10</v>
      </c>
      <c r="B13" s="15">
        <v>330200</v>
      </c>
      <c r="C13" s="20">
        <v>7</v>
      </c>
      <c r="E13" s="19" t="s">
        <v>21</v>
      </c>
      <c r="F13" s="15">
        <v>27600</v>
      </c>
      <c r="G13" s="15">
        <v>255000</v>
      </c>
      <c r="H13" s="15">
        <v>45000</v>
      </c>
      <c r="I13" s="15">
        <v>327600</v>
      </c>
    </row>
    <row r="14" spans="1:9" x14ac:dyDescent="0.25">
      <c r="A14" s="19" t="s">
        <v>29</v>
      </c>
      <c r="B14" s="15">
        <v>313000</v>
      </c>
      <c r="C14" s="20">
        <v>6</v>
      </c>
      <c r="E14" s="19" t="s">
        <v>74</v>
      </c>
      <c r="F14" s="15">
        <v>63600</v>
      </c>
      <c r="G14" s="15">
        <v>838000</v>
      </c>
      <c r="H14" s="15">
        <v>200000</v>
      </c>
      <c r="I14" s="15">
        <v>1101600</v>
      </c>
    </row>
    <row r="15" spans="1:9" x14ac:dyDescent="0.25">
      <c r="A15" s="19" t="s">
        <v>74</v>
      </c>
      <c r="B15" s="15">
        <v>1101600</v>
      </c>
      <c r="C15" s="20">
        <v>30</v>
      </c>
    </row>
  </sheetData>
  <mergeCells count="4">
    <mergeCell ref="A1:C1"/>
    <mergeCell ref="E1:G1"/>
    <mergeCell ref="A8:C8"/>
    <mergeCell ref="E8:I8"/>
  </mergeCells>
  <conditionalFormatting pivot="1" sqref="C3:C6">
    <cfRule type="dataBar" priority="4">
      <dataBar>
        <cfvo type="min"/>
        <cfvo type="max"/>
        <color rgb="FF63C384"/>
      </dataBar>
      <extLst>
        <ext xmlns:x14="http://schemas.microsoft.com/office/spreadsheetml/2009/9/main" uri="{B025F937-C7B1-47D3-B67F-A62EFF666E3E}">
          <x14:id>{AAF42209-F547-484D-80CD-E53C76949968}</x14:id>
        </ext>
      </extLst>
    </cfRule>
  </conditionalFormatting>
  <conditionalFormatting pivot="1" sqref="G3:G5">
    <cfRule type="dataBar" priority="3">
      <dataBar>
        <cfvo type="min"/>
        <cfvo type="max"/>
        <color rgb="FF63C384"/>
      </dataBar>
      <extLst>
        <ext xmlns:x14="http://schemas.microsoft.com/office/spreadsheetml/2009/9/main" uri="{B025F937-C7B1-47D3-B67F-A62EFF666E3E}">
          <x14:id>{E97122EE-9311-4B25-8F3A-CC1623230894}</x14:id>
        </ext>
      </extLst>
    </cfRule>
  </conditionalFormatting>
  <conditionalFormatting pivot="1" sqref="C10:C14">
    <cfRule type="dataBar" priority="2">
      <dataBar>
        <cfvo type="min"/>
        <cfvo type="max"/>
        <color rgb="FF63C384"/>
      </dataBar>
      <extLst>
        <ext xmlns:x14="http://schemas.microsoft.com/office/spreadsheetml/2009/9/main" uri="{B025F937-C7B1-47D3-B67F-A62EFF666E3E}">
          <x14:id>{1BBF2DE9-F2A6-485F-9175-2051D6201287}</x14:id>
        </ext>
      </extLst>
    </cfRule>
  </conditionalFormatting>
  <conditionalFormatting pivot="1" sqref="F11:I13">
    <cfRule type="colorScale" priority="1">
      <colorScale>
        <cfvo type="min"/>
        <cfvo type="max"/>
        <color rgb="FF63BE7B"/>
        <color rgb="FFFCFCFF"/>
      </colorScale>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dataBar" id="{AAF42209-F547-484D-80CD-E53C76949968}">
            <x14:dataBar minLength="0" maxLength="100" border="1" negativeBarBorderColorSameAsPositive="0">
              <x14:cfvo type="autoMin"/>
              <x14:cfvo type="autoMax"/>
              <x14:borderColor rgb="FF63C384"/>
              <x14:negativeFillColor rgb="FFFF0000"/>
              <x14:negativeBorderColor rgb="FFFF0000"/>
              <x14:axisColor rgb="FF000000"/>
            </x14:dataBar>
          </x14:cfRule>
          <xm:sqref>C3:C6</xm:sqref>
        </x14:conditionalFormatting>
        <x14:conditionalFormatting xmlns:xm="http://schemas.microsoft.com/office/excel/2006/main" pivot="1">
          <x14:cfRule type="dataBar" id="{E97122EE-9311-4B25-8F3A-CC1623230894}">
            <x14:dataBar minLength="0" maxLength="100" border="1" negativeBarBorderColorSameAsPositive="0">
              <x14:cfvo type="autoMin"/>
              <x14:cfvo type="autoMax"/>
              <x14:borderColor rgb="FF63C384"/>
              <x14:negativeFillColor rgb="FFFF0000"/>
              <x14:negativeBorderColor rgb="FFFF0000"/>
              <x14:axisColor rgb="FF000000"/>
            </x14:dataBar>
          </x14:cfRule>
          <xm:sqref>G3:G5</xm:sqref>
        </x14:conditionalFormatting>
        <x14:conditionalFormatting xmlns:xm="http://schemas.microsoft.com/office/excel/2006/main" pivot="1">
          <x14:cfRule type="dataBar" id="{1BBF2DE9-F2A6-485F-9175-2051D6201287}">
            <x14:dataBar minLength="0" maxLength="100" border="1" negativeBarBorderColorSameAsPositive="0">
              <x14:cfvo type="autoMin"/>
              <x14:cfvo type="autoMax"/>
              <x14:borderColor rgb="FF63C384"/>
              <x14:negativeFillColor rgb="FFFF0000"/>
              <x14:negativeBorderColor rgb="FFFF0000"/>
              <x14:axisColor rgb="FF000000"/>
            </x14:dataBar>
          </x14:cfRule>
          <xm:sqref>C10:C14</xm:sqref>
        </x14:conditionalFormatting>
      </x14:conditionalFormattings>
    </ex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FCFA6-E733-4366-9207-EE5B33A5E533}">
  <dimension ref="B5:K42"/>
  <sheetViews>
    <sheetView tabSelected="1" topLeftCell="A24" zoomScale="90" workbookViewId="0">
      <selection activeCell="M37" sqref="M37"/>
    </sheetView>
  </sheetViews>
  <sheetFormatPr defaultRowHeight="15" x14ac:dyDescent="0.25"/>
  <cols>
    <col min="1" max="1" width="13.140625" bestFit="1" customWidth="1"/>
    <col min="2" max="2" width="14" bestFit="1" customWidth="1"/>
    <col min="3" max="3" width="16.85546875" bestFit="1" customWidth="1"/>
    <col min="4" max="4" width="10.7109375" bestFit="1" customWidth="1"/>
    <col min="5" max="5" width="9.7109375" bestFit="1" customWidth="1"/>
    <col min="6" max="6" width="11.5703125" bestFit="1" customWidth="1"/>
  </cols>
  <sheetData>
    <row r="5" spans="2:6" ht="23.25" x14ac:dyDescent="0.35">
      <c r="B5" s="31" t="s">
        <v>83</v>
      </c>
      <c r="C5" s="31"/>
      <c r="D5" s="31"/>
      <c r="E5" s="31"/>
      <c r="F5" s="31"/>
    </row>
    <row r="13" spans="2:6" ht="15.75" x14ac:dyDescent="0.25">
      <c r="C13" s="16" t="s">
        <v>81</v>
      </c>
      <c r="D13" s="16"/>
      <c r="E13" s="16"/>
    </row>
    <row r="14" spans="2:6" x14ac:dyDescent="0.25">
      <c r="C14" s="17" t="s">
        <v>73</v>
      </c>
      <c r="D14" s="30" t="s">
        <v>75</v>
      </c>
      <c r="E14" s="18" t="s">
        <v>77</v>
      </c>
    </row>
    <row r="15" spans="2:6" x14ac:dyDescent="0.25">
      <c r="C15" s="19" t="s">
        <v>20</v>
      </c>
      <c r="D15" s="15">
        <v>132800</v>
      </c>
      <c r="E15" s="20">
        <v>6</v>
      </c>
    </row>
    <row r="16" spans="2:6" x14ac:dyDescent="0.25">
      <c r="C16" s="19" t="s">
        <v>27</v>
      </c>
      <c r="D16" s="15">
        <v>218800</v>
      </c>
      <c r="E16" s="20">
        <v>6</v>
      </c>
    </row>
    <row r="17" spans="2:6" x14ac:dyDescent="0.25">
      <c r="C17" s="19" t="s">
        <v>15</v>
      </c>
      <c r="D17" s="15">
        <v>106800</v>
      </c>
      <c r="E17" s="20">
        <v>5</v>
      </c>
    </row>
    <row r="18" spans="2:6" x14ac:dyDescent="0.25">
      <c r="C18" s="19" t="s">
        <v>10</v>
      </c>
      <c r="D18" s="15">
        <v>330200</v>
      </c>
      <c r="E18" s="20">
        <v>7</v>
      </c>
    </row>
    <row r="19" spans="2:6" x14ac:dyDescent="0.25">
      <c r="C19" s="19" t="s">
        <v>29</v>
      </c>
      <c r="D19" s="15">
        <v>313000</v>
      </c>
      <c r="E19" s="20">
        <v>6</v>
      </c>
    </row>
    <row r="20" spans="2:6" x14ac:dyDescent="0.25">
      <c r="C20" s="19" t="s">
        <v>74</v>
      </c>
      <c r="D20" s="15">
        <v>1101600</v>
      </c>
      <c r="E20" s="20">
        <v>30</v>
      </c>
    </row>
    <row r="22" spans="2:6" ht="15.75" x14ac:dyDescent="0.25">
      <c r="B22" s="16" t="s">
        <v>82</v>
      </c>
      <c r="C22" s="16"/>
      <c r="D22" s="16"/>
      <c r="E22" s="16"/>
      <c r="F22" s="16"/>
    </row>
    <row r="23" spans="2:6" x14ac:dyDescent="0.25">
      <c r="B23" s="17" t="s">
        <v>75</v>
      </c>
      <c r="C23" s="17" t="s">
        <v>78</v>
      </c>
      <c r="D23" s="10"/>
      <c r="E23" s="10"/>
      <c r="F23" s="10"/>
    </row>
    <row r="24" spans="2:6" x14ac:dyDescent="0.25">
      <c r="B24" s="17" t="s">
        <v>73</v>
      </c>
      <c r="C24" s="10" t="s">
        <v>17</v>
      </c>
      <c r="D24" s="10" t="s">
        <v>12</v>
      </c>
      <c r="E24" s="10" t="s">
        <v>22</v>
      </c>
      <c r="F24" s="10" t="s">
        <v>74</v>
      </c>
    </row>
    <row r="25" spans="2:6" x14ac:dyDescent="0.25">
      <c r="B25" s="19" t="s">
        <v>16</v>
      </c>
      <c r="C25" s="15">
        <v>18000</v>
      </c>
      <c r="D25" s="15">
        <v>272000</v>
      </c>
      <c r="E25" s="15">
        <v>60000</v>
      </c>
      <c r="F25" s="15">
        <v>350000</v>
      </c>
    </row>
    <row r="26" spans="2:6" x14ac:dyDescent="0.25">
      <c r="B26" s="19" t="s">
        <v>11</v>
      </c>
      <c r="C26" s="15">
        <v>18000</v>
      </c>
      <c r="D26" s="15">
        <v>311000</v>
      </c>
      <c r="E26" s="15">
        <v>95000</v>
      </c>
      <c r="F26" s="15">
        <v>424000</v>
      </c>
    </row>
    <row r="27" spans="2:6" x14ac:dyDescent="0.25">
      <c r="B27" s="19" t="s">
        <v>21</v>
      </c>
      <c r="C27" s="15">
        <v>27600</v>
      </c>
      <c r="D27" s="15">
        <v>255000</v>
      </c>
      <c r="E27" s="15">
        <v>45000</v>
      </c>
      <c r="F27" s="15">
        <v>327600</v>
      </c>
    </row>
    <row r="28" spans="2:6" x14ac:dyDescent="0.25">
      <c r="B28" s="19" t="s">
        <v>74</v>
      </c>
      <c r="C28" s="15">
        <v>63600</v>
      </c>
      <c r="D28" s="15">
        <v>838000</v>
      </c>
      <c r="E28" s="15">
        <v>200000</v>
      </c>
      <c r="F28" s="15">
        <v>1101600</v>
      </c>
    </row>
    <row r="42" spans="11:11" x14ac:dyDescent="0.25">
      <c r="K42" t="s">
        <v>86</v>
      </c>
    </row>
  </sheetData>
  <mergeCells count="3">
    <mergeCell ref="C13:E13"/>
    <mergeCell ref="B22:F22"/>
    <mergeCell ref="B5:F5"/>
  </mergeCells>
  <conditionalFormatting pivot="1" sqref="E15:E19">
    <cfRule type="dataBar" priority="2">
      <dataBar>
        <cfvo type="min"/>
        <cfvo type="max"/>
        <color rgb="FF63C384"/>
      </dataBar>
      <extLst>
        <ext xmlns:x14="http://schemas.microsoft.com/office/spreadsheetml/2009/9/main" uri="{B025F937-C7B1-47D3-B67F-A62EFF666E3E}">
          <x14:id>{4E6BB487-AF72-4615-871A-0269523B6095}</x14:id>
        </ext>
      </extLst>
    </cfRule>
  </conditionalFormatting>
  <conditionalFormatting pivot="1" sqref="C25:F27">
    <cfRule type="colorScale" priority="1">
      <colorScale>
        <cfvo type="min"/>
        <cfvo type="max"/>
        <color rgb="FF63BE7B"/>
        <color rgb="FFFCFCFF"/>
      </colorScale>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4E6BB487-AF72-4615-871A-0269523B6095}">
            <x14:dataBar minLength="0" maxLength="100" border="1" negativeBarBorderColorSameAsPositive="0">
              <x14:cfvo type="autoMin"/>
              <x14:cfvo type="autoMax"/>
              <x14:borderColor rgb="FF63C384"/>
              <x14:negativeFillColor rgb="FFFF0000"/>
              <x14:negativeBorderColor rgb="FFFF0000"/>
              <x14:axisColor rgb="FF000000"/>
            </x14:dataBar>
          </x14:cfRule>
          <xm:sqref>E15:E19</xm:sqref>
        </x14:conditionalFormatting>
      </x14:conditionalFormattings>
    </ex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F2E34-4033-4995-B052-DBE23A0C9AC3}">
  <dimension ref="A1:A2"/>
  <sheetViews>
    <sheetView workbookViewId="0">
      <selection activeCell="I19" sqref="I19"/>
    </sheetView>
  </sheetViews>
  <sheetFormatPr defaultRowHeight="15" x14ac:dyDescent="0.25"/>
  <sheetData>
    <row r="1" spans="1:1" x14ac:dyDescent="0.25">
      <c r="A1" t="s">
        <v>84</v>
      </c>
    </row>
    <row r="2" spans="1:1" x14ac:dyDescent="0.25">
      <c r="A2" t="s">
        <v>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01_Raw_Data</vt:lpstr>
      <vt:lpstr>02_Calculations</vt:lpstr>
      <vt:lpstr>03_Pivot_Analysis</vt:lpstr>
      <vt:lpstr>04_Dashboard</vt:lpstr>
      <vt:lpstr>05_Insights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syed Mohammad zaid</dc:creator>
  <cp:lastModifiedBy>syed Mohammad zaid</cp:lastModifiedBy>
  <dcterms:created xsi:type="dcterms:W3CDTF">2015-06-05T18:17:20Z</dcterms:created>
  <dcterms:modified xsi:type="dcterms:W3CDTF">2026-09-21T08:00:23Z</dcterms:modified>
</cp:coreProperties>
</file>