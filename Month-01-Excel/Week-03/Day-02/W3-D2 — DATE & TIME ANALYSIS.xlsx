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3\Day-02\"/>
    </mc:Choice>
  </mc:AlternateContent>
  <xr:revisionPtr revIDLastSave="0" documentId="13_ncr:1_{8BBFB54A-B5ED-4673-96B7-A25BE74D673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1" r:id="rId1"/>
    <sheet name="Notes" sheetId="2" r:id="rId2"/>
  </sheets>
  <definedNames>
    <definedName name="Order_Date">'Raw Data'!$B$2:$B$16</definedName>
    <definedName name="Order_ID">'Raw Data'!$A$2:$A$16</definedName>
    <definedName name="Product">'Raw Data'!$E$2:$E$16</definedName>
    <definedName name="Region">'Raw Data'!$D$2:$D$16</definedName>
    <definedName name="Sales">'Raw Data'!$F$2:$F$16</definedName>
    <definedName name="Salesperson">'Raw Data'!$C$2:$C$16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" l="1"/>
  <c r="A13" i="2"/>
  <c r="A19" i="2"/>
  <c r="A25" i="2"/>
  <c r="A47" i="2"/>
  <c r="M10" i="1"/>
  <c r="I9" i="1"/>
  <c r="I8" i="1"/>
  <c r="I6" i="1"/>
  <c r="J6" i="1"/>
  <c r="J5" i="1"/>
  <c r="I5" i="1"/>
  <c r="J4" i="1"/>
  <c r="I4" i="1"/>
  <c r="J2" i="1"/>
  <c r="I2" i="1"/>
  <c r="H2" i="1"/>
</calcChain>
</file>

<file path=xl/sharedStrings.xml><?xml version="1.0" encoding="utf-8"?>
<sst xmlns="http://schemas.openxmlformats.org/spreadsheetml/2006/main" count="126" uniqueCount="96">
  <si>
    <t>Order_ID</t>
  </si>
  <si>
    <t>Order_Date</t>
  </si>
  <si>
    <t>Salesperson</t>
  </si>
  <si>
    <t>Region</t>
  </si>
  <si>
    <t>Product</t>
  </si>
  <si>
    <t>Sales</t>
  </si>
  <si>
    <t>O001</t>
  </si>
  <si>
    <t>Rahul</t>
  </si>
  <si>
    <t>North</t>
  </si>
  <si>
    <t>Laptop</t>
  </si>
  <si>
    <t>O002</t>
  </si>
  <si>
    <t>Priya</t>
  </si>
  <si>
    <t>South</t>
  </si>
  <si>
    <t>Shirt</t>
  </si>
  <si>
    <t>O003</t>
  </si>
  <si>
    <t>20/02/2026</t>
  </si>
  <si>
    <t>Arman</t>
  </si>
  <si>
    <t>Chair</t>
  </si>
  <si>
    <t>O004</t>
  </si>
  <si>
    <t>Zoya</t>
  </si>
  <si>
    <t>West</t>
  </si>
  <si>
    <t>O005</t>
  </si>
  <si>
    <t>18/03/2026</t>
  </si>
  <si>
    <t>Hamza</t>
  </si>
  <si>
    <t>Monitor</t>
  </si>
  <si>
    <t>O006</t>
  </si>
  <si>
    <t>25/03/2026</t>
  </si>
  <si>
    <t>Sara</t>
  </si>
  <si>
    <t>O007</t>
  </si>
  <si>
    <t>Ali</t>
  </si>
  <si>
    <t>O008</t>
  </si>
  <si>
    <t>22/04/2026</t>
  </si>
  <si>
    <t>Fatima</t>
  </si>
  <si>
    <t>O009</t>
  </si>
  <si>
    <t>15/05/2026</t>
  </si>
  <si>
    <t>Sameer</t>
  </si>
  <si>
    <t>O010</t>
  </si>
  <si>
    <t>28/05/2026</t>
  </si>
  <si>
    <t>Ayesha</t>
  </si>
  <si>
    <t>O011</t>
  </si>
  <si>
    <t>Kabir</t>
  </si>
  <si>
    <t>O012</t>
  </si>
  <si>
    <t>19/06/2026</t>
  </si>
  <si>
    <t>Sana</t>
  </si>
  <si>
    <t>O013</t>
  </si>
  <si>
    <t>O014</t>
  </si>
  <si>
    <t>16/07/2026</t>
  </si>
  <si>
    <t>O015</t>
  </si>
  <si>
    <t>25/08/2026</t>
  </si>
  <si>
    <t xml:space="preserve">Year </t>
  </si>
  <si>
    <t>Month</t>
  </si>
  <si>
    <t>Day</t>
  </si>
  <si>
    <t>year</t>
  </si>
  <si>
    <t>month</t>
  </si>
  <si>
    <r>
      <t>North region</t>
    </r>
    <r>
      <rPr>
        <sz val="11"/>
        <color theme="1"/>
        <rFont val="Calibri"/>
        <family val="2"/>
        <scheme val="minor"/>
      </rPr>
      <t xml:space="preserve"> mein </t>
    </r>
    <r>
      <rPr>
        <b/>
        <sz val="11"/>
        <color theme="1"/>
        <rFont val="Calibri"/>
        <family val="2"/>
        <scheme val="minor"/>
      </rPr>
      <t>March ke orders</t>
    </r>
    <r>
      <rPr>
        <sz val="11"/>
        <color theme="1"/>
        <rFont val="Calibri"/>
        <family val="2"/>
        <scheme val="minor"/>
      </rPr>
      <t xml:space="preserve"> ki total sales</t>
    </r>
  </si>
  <si>
    <t>WEEK 03 — DAY 02</t>
  </si>
  <si>
    <t>DATE &amp; TIME ANALYSIS</t>
  </si>
  <si>
    <t>TODAY()</t>
  </si>
  <si>
    <t>Returns the current date.</t>
  </si>
  <si>
    <t>YEAR()</t>
  </si>
  <si>
    <t>Extracts the year from a date.</t>
  </si>
  <si>
    <t>MONTH()</t>
  </si>
  <si>
    <t>Returns the month number.</t>
  </si>
  <si>
    <t>DAY()</t>
  </si>
  <si>
    <t>Returns the day number.</t>
  </si>
  <si>
    <t>TEXT()</t>
  </si>
  <si>
    <t>Converts a date into a readable format.</t>
  </si>
  <si>
    <t>=TEXT(A2,"mmmm") → Full Month</t>
  </si>
  <si>
    <t>=TEXT(A2,"mmm")  → Short Month</t>
  </si>
  <si>
    <t>=TEXT(A2,"dddd") → Day Name</t>
  </si>
  <si>
    <t>DATEDIF()</t>
  </si>
  <si>
    <t>Calculates the difference between two dates.</t>
  </si>
  <si>
    <t>=DATEDIF(A2,B2,"d") → Days</t>
  </si>
  <si>
    <t>=DATEDIF(A2,B2,"m") → Complete Months</t>
  </si>
  <si>
    <t>=DATEDIF(A2,B2,"y") → Complete Years</t>
  </si>
  <si>
    <t>DATE()</t>
  </si>
  <si>
    <t>Creates a valid Excel date.</t>
  </si>
  <si>
    <t>DATE RANGE ANALYSIS</t>
  </si>
  <si>
    <t>&gt;= Start Date</t>
  </si>
  <si>
    <t>&lt; Next Period Start Date</t>
  </si>
  <si>
    <t>Example:</t>
  </si>
  <si>
    <t>&gt;= 1 May 2026</t>
  </si>
  <si>
    <t>&lt; 1 July 2026</t>
  </si>
  <si>
    <t>This represents May + June.</t>
  </si>
  <si>
    <t>ANALYST WORKFLOW</t>
  </si>
  <si>
    <t>Date</t>
  </si>
  <si>
    <t>↓</t>
  </si>
  <si>
    <t>Extract Year / Month / Day</t>
  </si>
  <si>
    <t>Create Conditions</t>
  </si>
  <si>
    <t>SUMIFS / COUNTIFS / FILTER</t>
  </si>
  <si>
    <t>Business Analysis</t>
  </si>
  <si>
    <t>KEY LEARNING</t>
  </si>
  <si>
    <t>Dates are not just displayed values.</t>
  </si>
  <si>
    <t>Excel can use them for calculations,</t>
  </si>
  <si>
    <t>filtering and time-based analysis.</t>
  </si>
  <si>
    <t>Status: COMPLETED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</si>
</sst>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zoomScale="120" zoomScaleNormal="120" workbookViewId="0">
      <selection activeCell="M10" sqref="M10"/>
    </sheetView>
  </sheetViews>
  <sheetFormatPr defaultRowHeight="15" x14ac:dyDescent="0.25"/>
  <cols>
    <col min="1" max="1" width="9.140625" style="2"/>
    <col min="2" max="2" width="11.28515625" style="2" bestFit="1" customWidth="1"/>
    <col min="3" max="9" width="9.140625" style="2"/>
    <col min="10" max="10" width="11.28515625" style="2" bestFit="1" customWidth="1"/>
    <col min="11" max="16384" width="9.140625" style="2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2" t="s">
        <v>49</v>
      </c>
      <c r="I1" s="2" t="s">
        <v>50</v>
      </c>
      <c r="J1" s="2" t="s">
        <v>51</v>
      </c>
    </row>
    <row r="2" spans="1:13" x14ac:dyDescent="0.25">
      <c r="A2" s="3" t="s">
        <v>6</v>
      </c>
      <c r="B2" s="4">
        <v>46143</v>
      </c>
      <c r="C2" s="3" t="s">
        <v>7</v>
      </c>
      <c r="D2" s="3" t="s">
        <v>8</v>
      </c>
      <c r="E2" s="3" t="s">
        <v>9</v>
      </c>
      <c r="F2" s="3">
        <v>55000</v>
      </c>
      <c r="H2" s="2">
        <f>YEAR(B2)</f>
        <v>2026</v>
      </c>
      <c r="I2" s="2">
        <f>MONTH(B2)</f>
        <v>5</v>
      </c>
      <c r="J2" s="2">
        <f>DAY(B2)</f>
        <v>1</v>
      </c>
    </row>
    <row r="3" spans="1:13" x14ac:dyDescent="0.25">
      <c r="A3" s="3" t="s">
        <v>10</v>
      </c>
      <c r="B3" s="4">
        <v>46357</v>
      </c>
      <c r="C3" s="3" t="s">
        <v>11</v>
      </c>
      <c r="D3" s="3" t="s">
        <v>12</v>
      </c>
      <c r="E3" s="3" t="s">
        <v>13</v>
      </c>
      <c r="F3" s="3">
        <v>12000</v>
      </c>
    </row>
    <row r="4" spans="1:13" x14ac:dyDescent="0.25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  <c r="F4" s="3">
        <v>15000</v>
      </c>
      <c r="H4" s="2" t="s">
        <v>52</v>
      </c>
      <c r="I4" s="2" t="str">
        <f>TEXT(B2,"yy")</f>
        <v>26</v>
      </c>
      <c r="J4" s="2" t="str">
        <f>TEXT(B2,"yyyy")</f>
        <v>2026</v>
      </c>
    </row>
    <row r="5" spans="1:13" x14ac:dyDescent="0.25">
      <c r="A5" s="3" t="s">
        <v>18</v>
      </c>
      <c r="B5" s="4">
        <v>46144</v>
      </c>
      <c r="C5" s="3" t="s">
        <v>19</v>
      </c>
      <c r="D5" s="3" t="s">
        <v>20</v>
      </c>
      <c r="E5" s="3" t="s">
        <v>9</v>
      </c>
      <c r="F5" s="3">
        <v>60000</v>
      </c>
      <c r="H5" s="2" t="s">
        <v>53</v>
      </c>
      <c r="I5" s="2" t="str">
        <f>TEXT(B2,"mm")</f>
        <v>05</v>
      </c>
      <c r="J5" s="2" t="str">
        <f>TEXT(B2,"mmmm")</f>
        <v>May</v>
      </c>
    </row>
    <row r="6" spans="1:13" x14ac:dyDescent="0.25">
      <c r="A6" s="3" t="s">
        <v>21</v>
      </c>
      <c r="B6" s="3" t="s">
        <v>22</v>
      </c>
      <c r="C6" s="3" t="s">
        <v>23</v>
      </c>
      <c r="D6" s="3" t="s">
        <v>8</v>
      </c>
      <c r="E6" s="3" t="s">
        <v>24</v>
      </c>
      <c r="F6" s="3">
        <v>36000</v>
      </c>
      <c r="H6" s="2" t="s">
        <v>51</v>
      </c>
      <c r="I6" s="2" t="str">
        <f>TEXT(B2,"dd")</f>
        <v>01</v>
      </c>
      <c r="J6" s="2" t="str">
        <f>TEXT(B2,"dddd")</f>
        <v>Friday</v>
      </c>
    </row>
    <row r="7" spans="1:13" x14ac:dyDescent="0.25">
      <c r="A7" s="3" t="s">
        <v>25</v>
      </c>
      <c r="B7" s="3" t="s">
        <v>26</v>
      </c>
      <c r="C7" s="3" t="s">
        <v>27</v>
      </c>
      <c r="D7" s="3" t="s">
        <v>12</v>
      </c>
      <c r="E7" s="3" t="s">
        <v>13</v>
      </c>
      <c r="F7" s="3">
        <v>18000</v>
      </c>
    </row>
    <row r="8" spans="1:13" x14ac:dyDescent="0.25">
      <c r="A8" s="3" t="s">
        <v>28</v>
      </c>
      <c r="B8" s="4">
        <v>46299</v>
      </c>
      <c r="C8" s="3" t="s">
        <v>29</v>
      </c>
      <c r="D8" s="3" t="s">
        <v>20</v>
      </c>
      <c r="E8" s="3" t="s">
        <v>9</v>
      </c>
      <c r="F8" s="3">
        <v>55000</v>
      </c>
      <c r="I8" s="2">
        <f>J7</f>
        <v>0</v>
      </c>
    </row>
    <row r="9" spans="1:13" x14ac:dyDescent="0.25">
      <c r="A9" s="3" t="s">
        <v>30</v>
      </c>
      <c r="B9" s="3" t="s">
        <v>31</v>
      </c>
      <c r="C9" s="3" t="s">
        <v>32</v>
      </c>
      <c r="D9" s="3" t="s">
        <v>8</v>
      </c>
      <c r="E9" s="3" t="s">
        <v>17</v>
      </c>
      <c r="F9" s="3">
        <v>20000</v>
      </c>
      <c r="I9" s="2">
        <f>SUMIFS(F2:F16,B2:B16,"&lt;=1/1/2026",B2:B16,""&lt;=30/12/2026)</f>
        <v>0</v>
      </c>
    </row>
    <row r="10" spans="1:13" x14ac:dyDescent="0.25">
      <c r="A10" s="3" t="s">
        <v>33</v>
      </c>
      <c r="B10" s="3" t="s">
        <v>34</v>
      </c>
      <c r="C10" s="3" t="s">
        <v>35</v>
      </c>
      <c r="D10" s="3" t="s">
        <v>12</v>
      </c>
      <c r="E10" s="3" t="s">
        <v>24</v>
      </c>
      <c r="F10" s="3">
        <v>40000</v>
      </c>
      <c r="H10" s="6" t="s">
        <v>54</v>
      </c>
      <c r="M10" s="2">
        <f>SUMIFS(Sales,Region,"North",Order_Date,"march")</f>
        <v>0</v>
      </c>
    </row>
    <row r="11" spans="1:13" x14ac:dyDescent="0.25">
      <c r="A11" s="3" t="s">
        <v>36</v>
      </c>
      <c r="B11" s="3" t="s">
        <v>37</v>
      </c>
      <c r="C11" s="3" t="s">
        <v>38</v>
      </c>
      <c r="D11" s="3" t="s">
        <v>20</v>
      </c>
      <c r="E11" s="3" t="s">
        <v>13</v>
      </c>
      <c r="F11" s="3">
        <v>15000</v>
      </c>
    </row>
    <row r="12" spans="1:13" x14ac:dyDescent="0.25">
      <c r="A12" s="3" t="s">
        <v>39</v>
      </c>
      <c r="B12" s="4">
        <v>46240</v>
      </c>
      <c r="C12" s="3" t="s">
        <v>40</v>
      </c>
      <c r="D12" s="3" t="s">
        <v>8</v>
      </c>
      <c r="E12" s="3" t="s">
        <v>9</v>
      </c>
      <c r="F12" s="3">
        <v>65000</v>
      </c>
    </row>
    <row r="13" spans="1:13" x14ac:dyDescent="0.25">
      <c r="A13" s="3" t="s">
        <v>41</v>
      </c>
      <c r="B13" s="3" t="s">
        <v>42</v>
      </c>
      <c r="C13" s="3" t="s">
        <v>43</v>
      </c>
      <c r="D13" s="3" t="s">
        <v>12</v>
      </c>
      <c r="E13" s="3" t="s">
        <v>17</v>
      </c>
      <c r="F13" s="3">
        <v>22000</v>
      </c>
    </row>
    <row r="14" spans="1:13" x14ac:dyDescent="0.25">
      <c r="A14" s="3" t="s">
        <v>44</v>
      </c>
      <c r="B14" s="4">
        <v>46119</v>
      </c>
      <c r="C14" s="3" t="s">
        <v>7</v>
      </c>
      <c r="D14" s="3" t="s">
        <v>20</v>
      </c>
      <c r="E14" s="3" t="s">
        <v>24</v>
      </c>
      <c r="F14" s="3">
        <v>45000</v>
      </c>
    </row>
    <row r="15" spans="1:13" x14ac:dyDescent="0.25">
      <c r="A15" s="3" t="s">
        <v>45</v>
      </c>
      <c r="B15" s="3" t="s">
        <v>46</v>
      </c>
      <c r="C15" s="3" t="s">
        <v>11</v>
      </c>
      <c r="D15" s="3" t="s">
        <v>8</v>
      </c>
      <c r="E15" s="3" t="s">
        <v>13</v>
      </c>
      <c r="F15" s="3">
        <v>14000</v>
      </c>
    </row>
    <row r="16" spans="1:13" x14ac:dyDescent="0.25">
      <c r="A16" s="3" t="s">
        <v>47</v>
      </c>
      <c r="B16" s="3" t="s">
        <v>48</v>
      </c>
      <c r="C16" s="3" t="s">
        <v>16</v>
      </c>
      <c r="D16" s="3" t="s">
        <v>12</v>
      </c>
      <c r="E16" s="3" t="s">
        <v>9</v>
      </c>
      <c r="F16" s="3">
        <v>58000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860B-3F71-492E-A4F6-4F442AAB33ED}">
  <dimension ref="A1:A82"/>
  <sheetViews>
    <sheetView tabSelected="1" workbookViewId="0">
      <selection activeCell="H9" sqref="H9"/>
    </sheetView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7" spans="1:1" x14ac:dyDescent="0.25">
      <c r="A7" s="1">
        <f ca="1">TODAY()</f>
        <v>46280</v>
      </c>
    </row>
    <row r="10" spans="1:1" x14ac:dyDescent="0.25">
      <c r="A10" t="s">
        <v>59</v>
      </c>
    </row>
    <row r="11" spans="1:1" x14ac:dyDescent="0.25">
      <c r="A11" t="s">
        <v>60</v>
      </c>
    </row>
    <row r="13" spans="1:1" x14ac:dyDescent="0.25">
      <c r="A13" t="e">
        <f>YEAR(A2)</f>
        <v>#VALUE!</v>
      </c>
    </row>
    <row r="16" spans="1:1" x14ac:dyDescent="0.25">
      <c r="A16" t="s">
        <v>61</v>
      </c>
    </row>
    <row r="17" spans="1:1" x14ac:dyDescent="0.25">
      <c r="A17" t="s">
        <v>62</v>
      </c>
    </row>
    <row r="19" spans="1:1" x14ac:dyDescent="0.25">
      <c r="A19" t="e">
        <f>MONTH(A2)</f>
        <v>#VALUE!</v>
      </c>
    </row>
    <row r="22" spans="1:1" x14ac:dyDescent="0.25">
      <c r="A22" t="s">
        <v>63</v>
      </c>
    </row>
    <row r="23" spans="1:1" x14ac:dyDescent="0.25">
      <c r="A23" t="s">
        <v>64</v>
      </c>
    </row>
    <row r="25" spans="1:1" x14ac:dyDescent="0.25">
      <c r="A25" t="e">
        <f>DAY(A2)</f>
        <v>#VALUE!</v>
      </c>
    </row>
    <row r="28" spans="1:1" x14ac:dyDescent="0.25">
      <c r="A28" t="s">
        <v>65</v>
      </c>
    </row>
    <row r="29" spans="1:1" x14ac:dyDescent="0.25">
      <c r="A29" t="s">
        <v>66</v>
      </c>
    </row>
    <row r="31" spans="1:1" x14ac:dyDescent="0.25">
      <c r="A31" t="s">
        <v>67</v>
      </c>
    </row>
    <row r="32" spans="1:1" x14ac:dyDescent="0.25">
      <c r="A32" t="s">
        <v>68</v>
      </c>
    </row>
    <row r="33" spans="1:1" x14ac:dyDescent="0.25">
      <c r="A33" t="s">
        <v>69</v>
      </c>
    </row>
    <row r="36" spans="1:1" x14ac:dyDescent="0.25">
      <c r="A36" t="s">
        <v>70</v>
      </c>
    </row>
    <row r="37" spans="1:1" x14ac:dyDescent="0.25">
      <c r="A37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7" spans="1:1" x14ac:dyDescent="0.25">
      <c r="A47" s="1">
        <f>DATE(2026,5,1)</f>
        <v>46143</v>
      </c>
    </row>
    <row r="50" spans="1:1" x14ac:dyDescent="0.25">
      <c r="A50" t="s">
        <v>77</v>
      </c>
    </row>
    <row r="52" spans="1:1" x14ac:dyDescent="0.25">
      <c r="A52" t="s">
        <v>78</v>
      </c>
    </row>
    <row r="53" spans="1:1" x14ac:dyDescent="0.25">
      <c r="A53" t="s">
        <v>79</v>
      </c>
    </row>
    <row r="55" spans="1:1" x14ac:dyDescent="0.25">
      <c r="A55" t="s">
        <v>80</v>
      </c>
    </row>
    <row r="57" spans="1:1" x14ac:dyDescent="0.25">
      <c r="A57" t="s">
        <v>81</v>
      </c>
    </row>
    <row r="58" spans="1:1" x14ac:dyDescent="0.25">
      <c r="A58" t="s">
        <v>82</v>
      </c>
    </row>
    <row r="60" spans="1:1" x14ac:dyDescent="0.25">
      <c r="A60" t="s">
        <v>83</v>
      </c>
    </row>
    <row r="63" spans="1:1" x14ac:dyDescent="0.25">
      <c r="A63" t="s">
        <v>84</v>
      </c>
    </row>
    <row r="65" spans="1:1" x14ac:dyDescent="0.25">
      <c r="A65" t="s">
        <v>85</v>
      </c>
    </row>
    <row r="66" spans="1:1" x14ac:dyDescent="0.25">
      <c r="A66" t="s">
        <v>86</v>
      </c>
    </row>
    <row r="67" spans="1:1" x14ac:dyDescent="0.25">
      <c r="A67" t="s">
        <v>87</v>
      </c>
    </row>
    <row r="68" spans="1:1" x14ac:dyDescent="0.25">
      <c r="A68" t="s">
        <v>86</v>
      </c>
    </row>
    <row r="69" spans="1:1" x14ac:dyDescent="0.25">
      <c r="A69" t="s">
        <v>88</v>
      </c>
    </row>
    <row r="70" spans="1:1" x14ac:dyDescent="0.25">
      <c r="A70" t="s">
        <v>86</v>
      </c>
    </row>
    <row r="71" spans="1:1" x14ac:dyDescent="0.25">
      <c r="A71" t="s">
        <v>89</v>
      </c>
    </row>
    <row r="72" spans="1:1" x14ac:dyDescent="0.25">
      <c r="A72" t="s">
        <v>86</v>
      </c>
    </row>
    <row r="73" spans="1:1" x14ac:dyDescent="0.25">
      <c r="A73" t="s">
        <v>90</v>
      </c>
    </row>
    <row r="76" spans="1:1" x14ac:dyDescent="0.25">
      <c r="A76" t="s">
        <v>91</v>
      </c>
    </row>
    <row r="78" spans="1:1" x14ac:dyDescent="0.25">
      <c r="A78" t="s">
        <v>92</v>
      </c>
    </row>
    <row r="79" spans="1:1" x14ac:dyDescent="0.25">
      <c r="A79" t="s">
        <v>93</v>
      </c>
    </row>
    <row r="80" spans="1:1" x14ac:dyDescent="0.25">
      <c r="A80" t="s">
        <v>94</v>
      </c>
    </row>
    <row r="82" spans="1:1" x14ac:dyDescent="0.25">
      <c r="A8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Raw Data</vt:lpstr>
      <vt:lpstr>Notes</vt:lpstr>
      <vt:lpstr>Order_Date</vt:lpstr>
      <vt:lpstr>Order_ID</vt:lpstr>
      <vt:lpstr>Product</vt:lpstr>
      <vt:lpstr>Region</vt:lpstr>
      <vt:lpstr>Sales</vt:lpstr>
      <vt:lpstr>Salesperson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2026-09-15T16:01:53Z</dcterms:modified>
</cp:coreProperties>
</file>