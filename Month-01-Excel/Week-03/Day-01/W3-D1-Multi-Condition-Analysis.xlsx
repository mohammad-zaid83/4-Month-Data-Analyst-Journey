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3\Day-01\"/>
    </mc:Choice>
  </mc:AlternateContent>
  <xr:revisionPtr revIDLastSave="0" documentId="13_ncr:1_{2E705E30-6B5A-4200-B366-603B3D8C79C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Set" sheetId="1" r:id="rId1"/>
    <sheet name="Notes" sheetId="2" r:id="rId2"/>
  </sheets>
  <definedNames>
    <definedName name="City">DataSet!$C$2:$C$13</definedName>
    <definedName name="Department">DataSet!$B$2:$B$13</definedName>
    <definedName name="Employee">DataSet!$A$2:$A$13</definedName>
    <definedName name="Orders">DataSet!$E$2:$E$13</definedName>
    <definedName name="Rating">DataSet!$F$2:$F$13</definedName>
    <definedName name="Sales">DataSet!$D$2:$D$13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A26" i="2"/>
  <c r="A41" i="2"/>
  <c r="B23" i="1"/>
  <c r="A23" i="1"/>
  <c r="H20" i="1"/>
  <c r="G19" i="1"/>
  <c r="G18" i="1"/>
  <c r="E17" i="1"/>
  <c r="F16" i="1"/>
  <c r="E15" i="1"/>
  <c r="I2" i="1"/>
  <c r="H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syed muhammad zaid</author>
  </authors>
  <commentList>
    <comment ref="G1" authorId="0" shapeId="0" xr:uid="{B5732616-496C-4DA7-9E8E-66877F6C67F1}">
      <text>
        <r>
          <rPr>
            <b/>
            <sz val="9"/>
            <color indexed="81"/>
            <rFont val="Tahoma"/>
            <charset val="1"/>
          </rPr>
          <t>syed muhammad zaid:</t>
        </r>
        <r>
          <rPr>
            <sz val="9"/>
            <color indexed="81"/>
            <rFont val="Tahoma"/>
            <charset val="1"/>
          </rPr>
          <t xml:space="preserve">
Total sale of sales department
</t>
        </r>
      </text>
    </comment>
    <comment ref="H1" authorId="0" shapeId="0" xr:uid="{D021DA2F-A9C1-4BA6-A8A5-DC02487CC650}">
      <text>
        <r>
          <rPr>
            <b/>
            <sz val="9"/>
            <color indexed="81"/>
            <rFont val="Tahoma"/>
            <charset val="1"/>
          </rPr>
          <t>syed muhammad zaid:</t>
        </r>
        <r>
          <rPr>
            <sz val="9"/>
            <color indexed="81"/>
            <rFont val="Tahoma"/>
            <charset val="1"/>
          </rPr>
          <t xml:space="preserve">
Sales department ke total employees count karo.</t>
        </r>
      </text>
    </comment>
    <comment ref="I1" authorId="0" shapeId="0" xr:uid="{0C0FE44D-E312-41D1-81DA-FDDFAA73F47D}">
      <text>
        <r>
          <rPr>
            <b/>
            <sz val="9"/>
            <color indexed="81"/>
            <rFont val="Tahoma"/>
            <charset val="1"/>
          </rPr>
          <t>syed muhammad zaid:</t>
        </r>
        <r>
          <rPr>
            <sz val="9"/>
            <color indexed="81"/>
            <rFont val="Tahoma"/>
            <charset val="1"/>
          </rPr>
          <t xml:space="preserve">
IT department ki average Sales nikalo.</t>
        </r>
      </text>
    </comment>
  </commentList>
</comments>
</file>

<file path=xl/sharedStrings.xml><?xml version="1.0" encoding="utf-8"?>
<sst xmlns="http://schemas.openxmlformats.org/spreadsheetml/2006/main" count="104" uniqueCount="70">
  <si>
    <t>Employee</t>
  </si>
  <si>
    <t>Department</t>
  </si>
  <si>
    <t>City</t>
  </si>
  <si>
    <t>Sales</t>
  </si>
  <si>
    <t>Orders</t>
  </si>
  <si>
    <t>Rating</t>
  </si>
  <si>
    <t>Rahul</t>
  </si>
  <si>
    <t>Lucknow</t>
  </si>
  <si>
    <t>Priya</t>
  </si>
  <si>
    <t>HR</t>
  </si>
  <si>
    <t>Delhi</t>
  </si>
  <si>
    <t>Arman</t>
  </si>
  <si>
    <t>Zoya</t>
  </si>
  <si>
    <t>IT</t>
  </si>
  <si>
    <t>Hamza</t>
  </si>
  <si>
    <t>Sara</t>
  </si>
  <si>
    <t>Mumbai</t>
  </si>
  <si>
    <t>Ali</t>
  </si>
  <si>
    <t>Fatima</t>
  </si>
  <si>
    <t>Sameer</t>
  </si>
  <si>
    <t>Ayesha</t>
  </si>
  <si>
    <t>Kabir</t>
  </si>
  <si>
    <t>Sana</t>
  </si>
  <si>
    <t>Total Sales</t>
  </si>
  <si>
    <t>Lucknow ke employees ki total Sales.</t>
  </si>
  <si>
    <r>
      <t xml:space="preserve">Delhi mein Sales department ke </t>
    </r>
    <r>
      <rPr>
        <b/>
        <sz val="11"/>
        <color theme="1"/>
        <rFont val="Calibri"/>
        <family val="2"/>
        <scheme val="minor"/>
      </rPr>
      <t>kitne employees</t>
    </r>
    <r>
      <rPr>
        <sz val="11"/>
        <color theme="1"/>
        <rFont val="Calibri"/>
        <family val="2"/>
        <scheme val="minor"/>
      </rPr>
      <t xml:space="preserve"> hain?</t>
    </r>
  </si>
  <si>
    <r>
      <t xml:space="preserve">Mumbai mein IT department ki </t>
    </r>
    <r>
      <rPr>
        <b/>
        <sz val="11"/>
        <color theme="1"/>
        <rFont val="Calibri"/>
        <family val="2"/>
        <scheme val="minor"/>
      </rPr>
      <t>average Sales</t>
    </r>
    <r>
      <rPr>
        <sz val="11"/>
        <color theme="1"/>
        <rFont val="Calibri"/>
        <family val="2"/>
        <scheme val="minor"/>
      </rPr>
      <t>.</t>
    </r>
  </si>
  <si>
    <t>"Lucknow ke Sales employees ne total kitni sales generate ki?</t>
  </si>
  <si>
    <t>Delhi ke Sales employees ne average kitni sales generate ki?"</t>
  </si>
  <si>
    <t>Kitne employees aise hain jo Sales department mein hain AND unki Rating 5 hai?</t>
  </si>
  <si>
    <t>"Mumbai mein IT department ke employees ki total sales kitni hai, aur unki average sales kitni hai?"</t>
  </si>
  <si>
    <t>Total Sale</t>
  </si>
  <si>
    <t>Average</t>
  </si>
  <si>
    <t>WEEK 03 — DAY 01</t>
  </si>
  <si>
    <t>MULTI-CONDITION ANALYSIS</t>
  </si>
  <si>
    <t>SUMIFS</t>
  </si>
  <si>
    <t>Used to calculate the total of values</t>
  </si>
  <si>
    <t>based on multiple conditions.</t>
  </si>
  <si>
    <t>Example:</t>
  </si>
  <si>
    <t>Logic:</t>
  </si>
  <si>
    <t>Sum Range</t>
  </si>
  <si>
    <t>↓</t>
  </si>
  <si>
    <t>Condition 1</t>
  </si>
  <si>
    <t>Condition 2</t>
  </si>
  <si>
    <t>Final Total</t>
  </si>
  <si>
    <t>COUNTIFS</t>
  </si>
  <si>
    <t>Used to count records that satisfy</t>
  </si>
  <si>
    <t>multiple conditions.</t>
  </si>
  <si>
    <t>AND</t>
  </si>
  <si>
    <t>Count matching rows</t>
  </si>
  <si>
    <t>AVERAGEIFS</t>
  </si>
  <si>
    <t>Used to calculate the average of values</t>
  </si>
  <si>
    <t>IMPORTANT DIFFERENCE</t>
  </si>
  <si>
    <t>SUMIF      → One condition + SUM</t>
  </si>
  <si>
    <t>SUMIFS     → Multiple conditions + SUM</t>
  </si>
  <si>
    <t>COUNTIF    → One condition + COUNT</t>
  </si>
  <si>
    <t>COUNTIFS   → Multiple conditions + COUNT</t>
  </si>
  <si>
    <t>AVERAGEIF  → One condition + AVERAGE</t>
  </si>
  <si>
    <t>AVERAGEIFS → Multiple conditions + AVERAGE</t>
  </si>
  <si>
    <t>ANALYST THINKING</t>
  </si>
  <si>
    <t>Business Question</t>
  </si>
  <si>
    <t>Identify conditions</t>
  </si>
  <si>
    <t>Choose SUMIFS / COUNTIFS / AVERAGEIFS</t>
  </si>
  <si>
    <t>Calculate</t>
  </si>
  <si>
    <t>Interpret the result</t>
  </si>
  <si>
    <t>KEY LEARNING</t>
  </si>
  <si>
    <t>IFS functions allow multiple conditions</t>
  </si>
  <si>
    <t>to be applied in a single calculation.</t>
  </si>
  <si>
    <t>Multiple conditions work like AND logic.</t>
  </si>
  <si>
    <t>Status: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</si>
</sst>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zoomScale="130" zoomScaleNormal="130" workbookViewId="0">
      <selection activeCell="G5" sqref="G5"/>
    </sheetView>
  </sheetViews>
  <sheetFormatPr defaultRowHeight="15" x14ac:dyDescent="0.25"/>
  <cols>
    <col min="1" max="1" width="9.85546875" style="1" bestFit="1" customWidth="1"/>
    <col min="2" max="2" width="11.7109375" style="1" bestFit="1" customWidth="1"/>
    <col min="3" max="3" width="8.7109375" style="1" bestFit="1" customWidth="1"/>
    <col min="4" max="6" width="9.140625" style="1"/>
    <col min="7" max="7" width="10.42578125" style="1" bestFit="1" customWidth="1"/>
    <col min="8" max="8" width="9.85546875" style="1" bestFit="1" customWidth="1"/>
    <col min="9" max="9" width="6.5703125" style="1" bestFit="1" customWidth="1"/>
    <col min="10" max="16384" width="9.140625" style="1"/>
  </cols>
  <sheetData>
    <row r="1" spans="1:9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23</v>
      </c>
      <c r="H1" s="11" t="s">
        <v>0</v>
      </c>
      <c r="I1" s="11" t="s">
        <v>13</v>
      </c>
    </row>
    <row r="2" spans="1:9" x14ac:dyDescent="0.25">
      <c r="A2" s="10" t="s">
        <v>6</v>
      </c>
      <c r="B2" s="10" t="s">
        <v>3</v>
      </c>
      <c r="C2" s="10" t="s">
        <v>7</v>
      </c>
      <c r="D2" s="10">
        <v>50000</v>
      </c>
      <c r="E2" s="10">
        <v>12</v>
      </c>
      <c r="F2" s="10">
        <v>4</v>
      </c>
      <c r="G2" s="10">
        <f>SUMIF(B2:B13,"Sales",D2:D13)</f>
        <v>400000</v>
      </c>
      <c r="H2" s="10">
        <f>COUNTIFS(B2:B13,"sales")</f>
        <v>6</v>
      </c>
      <c r="I2" s="12">
        <f>AVERAGEIFS(D2:D13,B2:B13,"IT")</f>
        <v>63333.333333333336</v>
      </c>
    </row>
    <row r="3" spans="1:9" x14ac:dyDescent="0.25">
      <c r="A3" s="10" t="s">
        <v>8</v>
      </c>
      <c r="B3" s="10" t="s">
        <v>9</v>
      </c>
      <c r="C3" s="10" t="s">
        <v>10</v>
      </c>
      <c r="D3" s="10">
        <v>30000</v>
      </c>
      <c r="E3" s="10">
        <v>8</v>
      </c>
      <c r="F3" s="10">
        <v>3</v>
      </c>
    </row>
    <row r="4" spans="1:9" x14ac:dyDescent="0.25">
      <c r="A4" s="10" t="s">
        <v>11</v>
      </c>
      <c r="B4" s="10" t="s">
        <v>3</v>
      </c>
      <c r="C4" s="10" t="s">
        <v>10</v>
      </c>
      <c r="D4" s="10">
        <v>70000</v>
      </c>
      <c r="E4" s="10">
        <v>15</v>
      </c>
      <c r="F4" s="10">
        <v>5</v>
      </c>
    </row>
    <row r="5" spans="1:9" x14ac:dyDescent="0.25">
      <c r="A5" s="10" t="s">
        <v>12</v>
      </c>
      <c r="B5" s="10" t="s">
        <v>13</v>
      </c>
      <c r="C5" s="10" t="s">
        <v>7</v>
      </c>
      <c r="D5" s="10">
        <v>60000</v>
      </c>
      <c r="E5" s="10">
        <v>10</v>
      </c>
      <c r="F5" s="10">
        <v>4</v>
      </c>
    </row>
    <row r="6" spans="1:9" x14ac:dyDescent="0.25">
      <c r="A6" s="10" t="s">
        <v>14</v>
      </c>
      <c r="B6" s="10" t="s">
        <v>3</v>
      </c>
      <c r="C6" s="10" t="s">
        <v>7</v>
      </c>
      <c r="D6" s="10">
        <v>80000</v>
      </c>
      <c r="E6" s="10">
        <v>18</v>
      </c>
      <c r="F6" s="10">
        <v>5</v>
      </c>
    </row>
    <row r="7" spans="1:9" x14ac:dyDescent="0.25">
      <c r="A7" s="10" t="s">
        <v>15</v>
      </c>
      <c r="B7" s="10" t="s">
        <v>9</v>
      </c>
      <c r="C7" s="10" t="s">
        <v>16</v>
      </c>
      <c r="D7" s="10">
        <v>35000</v>
      </c>
      <c r="E7" s="10">
        <v>9</v>
      </c>
      <c r="F7" s="10">
        <v>4</v>
      </c>
    </row>
    <row r="8" spans="1:9" x14ac:dyDescent="0.25">
      <c r="A8" s="10" t="s">
        <v>17</v>
      </c>
      <c r="B8" s="10" t="s">
        <v>13</v>
      </c>
      <c r="C8" s="10" t="s">
        <v>10</v>
      </c>
      <c r="D8" s="10">
        <v>55000</v>
      </c>
      <c r="E8" s="10">
        <v>11</v>
      </c>
      <c r="F8" s="10">
        <v>3</v>
      </c>
    </row>
    <row r="9" spans="1:9" x14ac:dyDescent="0.25">
      <c r="A9" s="10" t="s">
        <v>18</v>
      </c>
      <c r="B9" s="10" t="s">
        <v>3</v>
      </c>
      <c r="C9" s="10" t="s">
        <v>16</v>
      </c>
      <c r="D9" s="10">
        <v>65000</v>
      </c>
      <c r="E9" s="10">
        <v>14</v>
      </c>
      <c r="F9" s="10">
        <v>4</v>
      </c>
    </row>
    <row r="10" spans="1:9" x14ac:dyDescent="0.25">
      <c r="A10" s="10" t="s">
        <v>19</v>
      </c>
      <c r="B10" s="10" t="s">
        <v>3</v>
      </c>
      <c r="C10" s="10" t="s">
        <v>7</v>
      </c>
      <c r="D10" s="10">
        <v>45000</v>
      </c>
      <c r="E10" s="10">
        <v>10</v>
      </c>
      <c r="F10" s="10">
        <v>3</v>
      </c>
    </row>
    <row r="11" spans="1:9" x14ac:dyDescent="0.25">
      <c r="A11" s="10" t="s">
        <v>20</v>
      </c>
      <c r="B11" s="10" t="s">
        <v>13</v>
      </c>
      <c r="C11" s="10" t="s">
        <v>16</v>
      </c>
      <c r="D11" s="10">
        <v>75000</v>
      </c>
      <c r="E11" s="10">
        <v>16</v>
      </c>
      <c r="F11" s="10">
        <v>5</v>
      </c>
    </row>
    <row r="12" spans="1:9" x14ac:dyDescent="0.25">
      <c r="A12" s="10" t="s">
        <v>21</v>
      </c>
      <c r="B12" s="10" t="s">
        <v>9</v>
      </c>
      <c r="C12" s="10" t="s">
        <v>7</v>
      </c>
      <c r="D12" s="10">
        <v>40000</v>
      </c>
      <c r="E12" s="10">
        <v>7</v>
      </c>
      <c r="F12" s="10">
        <v>4</v>
      </c>
    </row>
    <row r="13" spans="1:9" x14ac:dyDescent="0.25">
      <c r="A13" s="10" t="s">
        <v>22</v>
      </c>
      <c r="B13" s="10" t="s">
        <v>3</v>
      </c>
      <c r="C13" s="10" t="s">
        <v>10</v>
      </c>
      <c r="D13" s="10">
        <v>90000</v>
      </c>
      <c r="E13" s="10">
        <v>20</v>
      </c>
      <c r="F13" s="10">
        <v>5</v>
      </c>
    </row>
    <row r="15" spans="1:9" x14ac:dyDescent="0.25">
      <c r="A15" s="5" t="s">
        <v>24</v>
      </c>
      <c r="B15" s="5"/>
      <c r="C15" s="5"/>
      <c r="D15" s="5"/>
      <c r="E15" s="4">
        <f>SUMIFS(Sales,City,"Lucknow")</f>
        <v>275000</v>
      </c>
      <c r="F15" s="2"/>
      <c r="G15" s="2"/>
      <c r="H15" s="2"/>
      <c r="I15" s="2"/>
    </row>
    <row r="16" spans="1:9" x14ac:dyDescent="0.25">
      <c r="A16" s="6" t="s">
        <v>25</v>
      </c>
      <c r="B16" s="6"/>
      <c r="C16" s="6"/>
      <c r="D16" s="6"/>
      <c r="E16" s="6"/>
      <c r="F16" s="3">
        <f>COUNTIFS(City,"Delhi",Department,"Sales")</f>
        <v>2</v>
      </c>
      <c r="G16" s="2"/>
      <c r="H16" s="2"/>
      <c r="I16" s="2"/>
    </row>
    <row r="17" spans="1:9" x14ac:dyDescent="0.25">
      <c r="A17" s="9" t="s">
        <v>26</v>
      </c>
      <c r="B17" s="9"/>
      <c r="C17" s="9"/>
      <c r="D17" s="9"/>
      <c r="E17" s="4">
        <f>AVERAGEIFS(Sales,City,"Mumbai",Department,"IT")</f>
        <v>75000</v>
      </c>
      <c r="F17" s="2"/>
      <c r="G17" s="2"/>
      <c r="H17" s="2"/>
      <c r="I17" s="2"/>
    </row>
    <row r="18" spans="1:9" x14ac:dyDescent="0.25">
      <c r="A18" s="6" t="s">
        <v>27</v>
      </c>
      <c r="B18" s="6"/>
      <c r="C18" s="6"/>
      <c r="D18" s="6"/>
      <c r="E18" s="6"/>
      <c r="F18" s="6"/>
      <c r="G18" s="3">
        <f>SUMIFS(Sales,City,"Lucknow",Department,"Sales")</f>
        <v>175000</v>
      </c>
      <c r="H18" s="2"/>
      <c r="I18" s="2"/>
    </row>
    <row r="19" spans="1:9" x14ac:dyDescent="0.25">
      <c r="A19" s="9" t="s">
        <v>28</v>
      </c>
      <c r="B19" s="9"/>
      <c r="C19" s="9"/>
      <c r="D19" s="9"/>
      <c r="E19" s="9"/>
      <c r="F19" s="9"/>
      <c r="G19" s="4">
        <f>AVERAGEIFS(Sales,City,"Delhi",Department,"Sales")</f>
        <v>80000</v>
      </c>
      <c r="H19" s="2"/>
      <c r="I19" s="2"/>
    </row>
    <row r="20" spans="1:9" x14ac:dyDescent="0.25">
      <c r="A20" s="9" t="s">
        <v>29</v>
      </c>
      <c r="B20" s="9"/>
      <c r="C20" s="9"/>
      <c r="D20" s="9"/>
      <c r="E20" s="9"/>
      <c r="F20" s="9"/>
      <c r="G20" s="9"/>
      <c r="H20" s="4">
        <f>COUNTIFS(Department,"Sales",Rating,"=5")</f>
        <v>3</v>
      </c>
      <c r="I20" s="2"/>
    </row>
    <row r="21" spans="1:9" x14ac:dyDescent="0.25">
      <c r="A21" s="8" t="s">
        <v>30</v>
      </c>
      <c r="B21" s="8"/>
      <c r="C21" s="8"/>
      <c r="D21" s="8"/>
      <c r="E21" s="8"/>
      <c r="F21" s="8"/>
      <c r="G21" s="8"/>
      <c r="H21" s="8"/>
      <c r="I21" s="8"/>
    </row>
    <row r="22" spans="1:9" x14ac:dyDescent="0.25">
      <c r="A22" s="7" t="s">
        <v>31</v>
      </c>
      <c r="B22" s="7" t="s">
        <v>32</v>
      </c>
      <c r="C22" s="2"/>
      <c r="D22" s="2"/>
      <c r="E22" s="2"/>
      <c r="F22" s="2"/>
      <c r="G22" s="2"/>
      <c r="H22" s="2"/>
      <c r="I22" s="2"/>
    </row>
    <row r="23" spans="1:9" x14ac:dyDescent="0.25">
      <c r="A23" s="3">
        <f>SUMIFS(Sales,City,"Mumbai",Department,"IT")</f>
        <v>75000</v>
      </c>
      <c r="B23" s="3">
        <f>AVERAGEIFS(Sales,City,"Lucknow",Department,"IT")</f>
        <v>60000</v>
      </c>
      <c r="C23" s="2"/>
      <c r="D23" s="2"/>
      <c r="E23" s="2"/>
      <c r="F23" s="2"/>
      <c r="G23" s="2"/>
      <c r="H23" s="2"/>
      <c r="I23" s="2"/>
    </row>
  </sheetData>
  <mergeCells count="7">
    <mergeCell ref="A20:G20"/>
    <mergeCell ref="A21:I21"/>
    <mergeCell ref="A15:D15"/>
    <mergeCell ref="A16:E16"/>
    <mergeCell ref="A17:D17"/>
    <mergeCell ref="A18:F18"/>
    <mergeCell ref="A19:F19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F4E4-7829-49AC-95BE-96F6F4201B29}">
  <dimension ref="A1:A76"/>
  <sheetViews>
    <sheetView tabSelected="1" workbookViewId="0">
      <selection activeCell="M13" sqref="M13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8" spans="1:1" x14ac:dyDescent="0.25">
      <c r="A8" t="s">
        <v>38</v>
      </c>
    </row>
    <row r="9" spans="1:1" x14ac:dyDescent="0.25">
      <c r="A9">
        <f ca="1">SUMIFS(D2:D13,B2:B13,"Sales",C2:C13,"Lucknow")</f>
        <v>0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41</v>
      </c>
    </row>
    <row r="16" spans="1:1" x14ac:dyDescent="0.25">
      <c r="A16" t="s">
        <v>43</v>
      </c>
    </row>
    <row r="17" spans="1:1" x14ac:dyDescent="0.25">
      <c r="A17" t="s">
        <v>41</v>
      </c>
    </row>
    <row r="18" spans="1:1" x14ac:dyDescent="0.25">
      <c r="A18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5" spans="1:1" x14ac:dyDescent="0.25">
      <c r="A25" t="s">
        <v>38</v>
      </c>
    </row>
    <row r="26" spans="1:1" x14ac:dyDescent="0.25">
      <c r="A26">
        <f>COUNTIFS(B2:B13,"Sales",C2:C13,"Lucknow")</f>
        <v>0</v>
      </c>
    </row>
    <row r="28" spans="1:1" x14ac:dyDescent="0.25">
      <c r="A28" t="s">
        <v>39</v>
      </c>
    </row>
    <row r="29" spans="1:1" x14ac:dyDescent="0.25">
      <c r="A29" t="s">
        <v>42</v>
      </c>
    </row>
    <row r="30" spans="1:1" x14ac:dyDescent="0.25">
      <c r="A30" t="s">
        <v>48</v>
      </c>
    </row>
    <row r="31" spans="1:1" x14ac:dyDescent="0.25">
      <c r="A31" t="s">
        <v>43</v>
      </c>
    </row>
    <row r="32" spans="1:1" x14ac:dyDescent="0.25">
      <c r="A32" t="s">
        <v>41</v>
      </c>
    </row>
    <row r="33" spans="1:1" x14ac:dyDescent="0.25">
      <c r="A33" t="s">
        <v>49</v>
      </c>
    </row>
    <row r="36" spans="1:1" x14ac:dyDescent="0.25">
      <c r="A36" t="s">
        <v>50</v>
      </c>
    </row>
    <row r="37" spans="1:1" x14ac:dyDescent="0.25">
      <c r="A37" t="s">
        <v>51</v>
      </c>
    </row>
    <row r="38" spans="1:1" x14ac:dyDescent="0.25">
      <c r="A38" t="s">
        <v>37</v>
      </c>
    </row>
    <row r="40" spans="1:1" x14ac:dyDescent="0.25">
      <c r="A40" t="s">
        <v>38</v>
      </c>
    </row>
    <row r="41" spans="1:1" x14ac:dyDescent="0.25">
      <c r="A41" t="e">
        <f ca="1">AVERAGEIFS(D2:D13,B2:B13,"Sales",C2:C13,"Lucknow")</f>
        <v>#DIV/0!</v>
      </c>
    </row>
    <row r="44" spans="1:1" x14ac:dyDescent="0.25">
      <c r="A44" t="s">
        <v>52</v>
      </c>
    </row>
    <row r="46" spans="1:1" x14ac:dyDescent="0.25">
      <c r="A46" t="s">
        <v>53</v>
      </c>
    </row>
    <row r="47" spans="1:1" x14ac:dyDescent="0.25">
      <c r="A47" t="s">
        <v>54</v>
      </c>
    </row>
    <row r="49" spans="1:1" x14ac:dyDescent="0.25">
      <c r="A49" t="s">
        <v>55</v>
      </c>
    </row>
    <row r="50" spans="1:1" x14ac:dyDescent="0.25">
      <c r="A50" t="s">
        <v>56</v>
      </c>
    </row>
    <row r="52" spans="1:1" x14ac:dyDescent="0.25">
      <c r="A52" t="s">
        <v>57</v>
      </c>
    </row>
    <row r="53" spans="1:1" x14ac:dyDescent="0.25">
      <c r="A53" t="s">
        <v>58</v>
      </c>
    </row>
    <row r="56" spans="1:1" x14ac:dyDescent="0.25">
      <c r="A56" t="s">
        <v>59</v>
      </c>
    </row>
    <row r="58" spans="1:1" x14ac:dyDescent="0.25">
      <c r="A58" t="s">
        <v>60</v>
      </c>
    </row>
    <row r="59" spans="1:1" x14ac:dyDescent="0.25">
      <c r="A59" t="s">
        <v>41</v>
      </c>
    </row>
    <row r="60" spans="1:1" x14ac:dyDescent="0.25">
      <c r="A60" t="s">
        <v>61</v>
      </c>
    </row>
    <row r="61" spans="1:1" x14ac:dyDescent="0.25">
      <c r="A61" t="s">
        <v>41</v>
      </c>
    </row>
    <row r="62" spans="1:1" x14ac:dyDescent="0.25">
      <c r="A62" t="s">
        <v>62</v>
      </c>
    </row>
    <row r="63" spans="1:1" x14ac:dyDescent="0.25">
      <c r="A63" t="s">
        <v>41</v>
      </c>
    </row>
    <row r="64" spans="1:1" x14ac:dyDescent="0.25">
      <c r="A64" t="s">
        <v>63</v>
      </c>
    </row>
    <row r="65" spans="1:1" x14ac:dyDescent="0.25">
      <c r="A65" t="s">
        <v>41</v>
      </c>
    </row>
    <row r="66" spans="1:1" x14ac:dyDescent="0.25">
      <c r="A66" t="s">
        <v>64</v>
      </c>
    </row>
    <row r="69" spans="1:1" x14ac:dyDescent="0.25">
      <c r="A69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4" spans="1:1" x14ac:dyDescent="0.25">
      <c r="A74" t="s">
        <v>68</v>
      </c>
    </row>
    <row r="76" spans="1:1" x14ac:dyDescent="0.25">
      <c r="A7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DataSet</vt:lpstr>
      <vt:lpstr>Notes</vt:lpstr>
      <vt:lpstr>City</vt:lpstr>
      <vt:lpstr>Department</vt:lpstr>
      <vt:lpstr>Employee</vt:lpstr>
      <vt:lpstr>Orders</vt:lpstr>
      <vt:lpstr>Rating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2026-09-14T15:23:39Z</dcterms:modified>
</cp:coreProperties>
</file>